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ark Mulder\surfdrive\Documents\"/>
    </mc:Choice>
  </mc:AlternateContent>
  <xr:revisionPtr revIDLastSave="0" documentId="13_ncr:1_{420FFD6C-1842-4909-BBCE-85F58AADE4E4}" xr6:coauthVersionLast="47" xr6:coauthVersionMax="47" xr10:uidLastSave="{00000000-0000-0000-0000-000000000000}"/>
  <bookViews>
    <workbookView xWindow="-28920" yWindow="-120" windowWidth="29040" windowHeight="17520" xr2:uid="{00000000-000D-0000-FFFF-FFFF00000000}"/>
  </bookViews>
  <sheets>
    <sheet name="Checklist"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8" i="1" l="1"/>
  <c r="F42" i="1"/>
  <c r="F41" i="1"/>
  <c r="F31" i="1"/>
  <c r="F32" i="1"/>
  <c r="F30" i="1"/>
  <c r="E3" i="1"/>
  <c r="F40" i="1"/>
  <c r="F39" i="1"/>
  <c r="F38" i="1"/>
  <c r="F36" i="1"/>
  <c r="F26" i="1"/>
  <c r="F24" i="1"/>
  <c r="F22" i="1"/>
  <c r="F34" i="1"/>
  <c r="Y122" i="1"/>
  <c r="C43" i="1" s="1"/>
  <c r="G43" i="1" s="1"/>
  <c r="Y121" i="1"/>
  <c r="F17" i="1"/>
  <c r="F14" i="1"/>
  <c r="F13" i="1"/>
  <c r="F10" i="1"/>
  <c r="F5" i="1"/>
  <c r="F6" i="1"/>
  <c r="F12" i="1"/>
  <c r="Y119" i="1"/>
  <c r="Y118" i="1"/>
  <c r="Y120" i="1"/>
  <c r="Y117" i="1"/>
  <c r="Y116" i="1"/>
  <c r="Y105" i="1"/>
  <c r="Y106" i="1"/>
  <c r="Y107" i="1"/>
  <c r="Y108" i="1"/>
  <c r="Y109" i="1"/>
  <c r="Y110" i="1"/>
  <c r="Y111" i="1"/>
  <c r="Y112" i="1"/>
  <c r="Y113" i="1"/>
  <c r="Y114" i="1"/>
  <c r="Y115" i="1"/>
  <c r="I11" i="1"/>
  <c r="I20" i="1"/>
  <c r="I5" i="1"/>
  <c r="I7" i="1"/>
  <c r="I14" i="1"/>
  <c r="I25" i="1"/>
  <c r="I27" i="1"/>
  <c r="I33" i="1"/>
  <c r="I35" i="1"/>
  <c r="I37" i="1"/>
  <c r="I42" i="1"/>
  <c r="M43" i="1"/>
  <c r="M44" i="1" s="1"/>
  <c r="I43" i="1" l="1"/>
</calcChain>
</file>

<file path=xl/sharedStrings.xml><?xml version="1.0" encoding="utf-8"?>
<sst xmlns="http://schemas.openxmlformats.org/spreadsheetml/2006/main" count="68" uniqueCount="65">
  <si>
    <t>✅ Good</t>
  </si>
  <si>
    <t>💪 Better</t>
  </si>
  <si>
    <t>🏆 Excellent</t>
  </si>
  <si>
    <t>%</t>
  </si>
  <si>
    <t>:</t>
  </si>
  <si>
    <t>Open Science Master</t>
  </si>
  <si>
    <t>Open Science Champion</t>
  </si>
  <si>
    <t>You're an …</t>
  </si>
  <si>
    <t>Open Science Apprentice</t>
  </si>
  <si>
    <t>Score</t>
  </si>
  <si>
    <t>Level</t>
  </si>
  <si>
    <t>&lt; 50%</t>
  </si>
  <si>
    <t>50 - 70%</t>
  </si>
  <si>
    <t>&gt; 70%</t>
  </si>
  <si>
    <t>Good?</t>
  </si>
  <si>
    <t>Better?</t>
  </si>
  <si>
    <t>Excellent?</t>
  </si>
  <si>
    <t>N/A?</t>
  </si>
  <si>
    <t>Points</t>
  </si>
  <si>
    <t>Check</t>
  </si>
  <si>
    <t>Tasks</t>
  </si>
  <si>
    <t>Resources</t>
  </si>
  <si>
    <t>Pre-registration</t>
  </si>
  <si>
    <t>Conducting Study</t>
  </si>
  <si>
    <t>Data collection protocols</t>
  </si>
  <si>
    <t>Logbook</t>
  </si>
  <si>
    <t>Data Storage</t>
  </si>
  <si>
    <t>Writing Manuscript</t>
  </si>
  <si>
    <t>Version Control</t>
  </si>
  <si>
    <t>Preprint</t>
  </si>
  <si>
    <t>Peer review</t>
  </si>
  <si>
    <t>After Publication</t>
  </si>
  <si>
    <t>Publication package (archive)</t>
  </si>
  <si>
    <t>Publication package (public)</t>
  </si>
  <si>
    <t>MRI data</t>
  </si>
  <si>
    <t>Sync Website</t>
  </si>
  <si>
    <t>Twitter</t>
  </si>
  <si>
    <t>LinkedIn</t>
  </si>
  <si>
    <t xml:space="preserve">Write a pre-registration or registered report and upload on OSF </t>
  </si>
  <si>
    <t>Data Management Plan</t>
  </si>
  <si>
    <t xml:space="preserve">Store your data logically and in a safe place from day 1 (according to your DMP)	</t>
  </si>
  <si>
    <t>Create an archiving publication package for the EUR data repository or DataVerse (according to University guidelines)</t>
  </si>
  <si>
    <t xml:space="preserve">Implement version control when writing your paper/analyzing your data (i.e. using Github or Datalad) </t>
  </si>
  <si>
    <t>Create a public facing publication package for the SYNC Github. Link to publication package in the repository</t>
  </si>
  <si>
    <t>Upload (f)MRI group maps on Neurovault</t>
  </si>
  <si>
    <t>Write a Twitter thread</t>
  </si>
  <si>
    <t>Write a LinkedIn message</t>
  </si>
  <si>
    <t xml:space="preserve">Check/write data management plan (DMP) </t>
  </si>
  <si>
    <t>Preparing Paper</t>
  </si>
  <si>
    <t>List your published (sync) paper on the SYNC website</t>
  </si>
  <si>
    <t>YX insta en website facts</t>
  </si>
  <si>
    <t>Codebook</t>
  </si>
  <si>
    <t>Contact YX team</t>
  </si>
  <si>
    <t xml:space="preserve">   Readme</t>
  </si>
  <si>
    <t>Scripts / Syntax</t>
  </si>
  <si>
    <r>
      <rPr>
        <b/>
        <i/>
        <sz val="11"/>
        <rFont val="Arial"/>
        <family val="2"/>
      </rPr>
      <t>a.</t>
    </r>
    <r>
      <rPr>
        <sz val="11"/>
        <rFont val="Arial"/>
        <family val="2"/>
      </rPr>
      <t xml:space="preserve">	Final manuscript
</t>
    </r>
    <r>
      <rPr>
        <b/>
        <i/>
        <sz val="11"/>
        <rFont val="Arial"/>
        <family val="2"/>
      </rPr>
      <t>b.</t>
    </r>
    <r>
      <rPr>
        <sz val="11"/>
        <rFont val="Arial"/>
        <family val="2"/>
      </rPr>
      <t xml:space="preserve">	Tasks and questionnaires
</t>
    </r>
    <r>
      <rPr>
        <b/>
        <i/>
        <sz val="11"/>
        <rFont val="Arial"/>
        <family val="2"/>
      </rPr>
      <t>c.</t>
    </r>
    <r>
      <rPr>
        <sz val="11"/>
        <rFont val="Arial"/>
        <family val="2"/>
      </rPr>
      <t xml:space="preserve">	Raw data
</t>
    </r>
    <r>
      <rPr>
        <b/>
        <i/>
        <sz val="11"/>
        <rFont val="Arial"/>
        <family val="2"/>
      </rPr>
      <t>d.</t>
    </r>
    <r>
      <rPr>
        <sz val="11"/>
        <rFont val="Arial"/>
        <family val="2"/>
      </rPr>
      <t xml:space="preserve">	Computer code
</t>
    </r>
    <r>
      <rPr>
        <b/>
        <i/>
        <sz val="11"/>
        <rFont val="Arial"/>
        <family val="2"/>
      </rPr>
      <t>e.</t>
    </r>
    <r>
      <rPr>
        <sz val="11"/>
        <rFont val="Arial"/>
        <family val="2"/>
      </rPr>
      <t xml:space="preserve">	Processed data
</t>
    </r>
    <r>
      <rPr>
        <b/>
        <i/>
        <sz val="11"/>
        <rFont val="Arial"/>
        <family val="2"/>
      </rPr>
      <t>f.</t>
    </r>
    <r>
      <rPr>
        <sz val="11"/>
        <rFont val="Arial"/>
        <family val="2"/>
      </rPr>
      <t xml:space="preserve">	Metadata/additional information
</t>
    </r>
    <r>
      <rPr>
        <b/>
        <i/>
        <sz val="11"/>
        <rFont val="Arial"/>
        <family val="2"/>
      </rPr>
      <t>g.</t>
    </r>
    <r>
      <rPr>
        <sz val="11"/>
        <rFont val="Arial"/>
        <family val="2"/>
      </rPr>
      <t xml:space="preserve">	Ethical Committee Application			</t>
    </r>
  </si>
  <si>
    <r>
      <rPr>
        <b/>
        <i/>
        <sz val="11"/>
        <rFont val="Arial"/>
        <family val="2"/>
      </rPr>
      <t>a.</t>
    </r>
    <r>
      <rPr>
        <sz val="11"/>
        <rFont val="Arial"/>
        <family val="2"/>
      </rPr>
      <t xml:space="preserve">	Processed data
</t>
    </r>
    <r>
      <rPr>
        <b/>
        <i/>
        <sz val="11"/>
        <rFont val="Arial"/>
        <family val="2"/>
      </rPr>
      <t>b.</t>
    </r>
    <r>
      <rPr>
        <sz val="11"/>
        <rFont val="Arial"/>
        <family val="2"/>
      </rPr>
      <t xml:space="preserve">	Visualized/interactive results</t>
    </r>
  </si>
  <si>
    <t>Total Open Science Score</t>
  </si>
  <si>
    <t>Use and store understandable and accessible protocols for data collection, including protocols for participant contact, participant instructions, and data handling.</t>
  </si>
  <si>
    <t>Keep a codebook that gives an overview all the different measures and the exact content of data files. This includes information like variable names and labels, measurement levels and values.  This can be a template at first and be updated it if changes occur.</t>
  </si>
  <si>
    <t>Keep a logbook of all important events that occur during data collection (niet specifieke informatie maar hoe we ermee omgaan)</t>
  </si>
  <si>
    <t xml:space="preserve">Use understandable and accessible scripts/syntax for data analyses	</t>
  </si>
  <si>
    <t>Upload your final manuscript as a preprint to PsyArxiv</t>
  </si>
  <si>
    <t xml:space="preserve">Submit your final manuscript for peer review to an Open Access journal (in het allerergste geval op de Repository) </t>
  </si>
  <si>
    <t>Use understandable and accessible Readme to describe research metadata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</si>
</sst>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1"/>
      <color rgb="FF000000"/>
      <name val="Arial"/>
      <family val="2"/>
    </font>
    <font>
      <u/>
      <sz val="11"/>
      <color theme="10"/>
      <name val="Calibri"/>
      <family val="2"/>
      <scheme val="minor"/>
    </font>
    <font>
      <sz val="11"/>
      <color theme="1"/>
      <name val="Arial"/>
      <family val="2"/>
    </font>
    <font>
      <sz val="10"/>
      <color theme="1"/>
      <name val="Arial"/>
      <family val="2"/>
    </font>
    <font>
      <sz val="10"/>
      <color theme="1"/>
      <name val="Calibri"/>
      <family val="2"/>
      <scheme val="minor"/>
    </font>
    <font>
      <sz val="16"/>
      <color rgb="FF000000"/>
      <name val="Arial"/>
      <family val="2"/>
    </font>
    <font>
      <sz val="16"/>
      <color theme="1"/>
      <name val="Calibri"/>
      <family val="2"/>
      <scheme val="minor"/>
    </font>
    <font>
      <sz val="16"/>
      <color theme="1"/>
      <name val="Arial"/>
      <family val="2"/>
    </font>
    <font>
      <b/>
      <u/>
      <sz val="11"/>
      <color theme="10"/>
      <name val="Arial"/>
      <family val="2"/>
    </font>
    <font>
      <b/>
      <i/>
      <sz val="16"/>
      <color theme="8" tint="-0.499984740745262"/>
      <name val="Calisto MT"/>
      <family val="1"/>
    </font>
    <font>
      <sz val="20"/>
      <name val="Arial"/>
      <family val="2"/>
    </font>
    <font>
      <sz val="10"/>
      <name val="Calibri"/>
      <family val="2"/>
      <scheme val="minor"/>
    </font>
    <font>
      <sz val="16"/>
      <name val="Arial"/>
      <family val="2"/>
    </font>
    <font>
      <b/>
      <sz val="20"/>
      <name val="Arial"/>
      <family val="2"/>
    </font>
    <font>
      <b/>
      <sz val="16"/>
      <name val="Arial"/>
      <family val="2"/>
    </font>
    <font>
      <i/>
      <sz val="14"/>
      <color rgb="FF000000"/>
      <name val="Arial"/>
      <family val="2"/>
    </font>
    <font>
      <sz val="10"/>
      <name val="Arial"/>
      <family val="2"/>
    </font>
    <font>
      <sz val="16"/>
      <color theme="0"/>
      <name val="Arial"/>
      <family val="2"/>
    </font>
    <font>
      <b/>
      <sz val="16"/>
      <color theme="0"/>
      <name val="Arial"/>
      <family val="2"/>
    </font>
    <font>
      <b/>
      <sz val="36"/>
      <color theme="0"/>
      <name val="Arial"/>
      <family val="2"/>
    </font>
    <font>
      <b/>
      <sz val="14"/>
      <color theme="0"/>
      <name val="Arial"/>
      <family val="2"/>
    </font>
    <font>
      <sz val="11"/>
      <name val="Arial"/>
      <family val="2"/>
    </font>
    <font>
      <b/>
      <i/>
      <sz val="16"/>
      <name val="Calisto MT"/>
      <family val="1"/>
    </font>
    <font>
      <b/>
      <u/>
      <sz val="11"/>
      <name val="Arial"/>
      <family val="2"/>
    </font>
    <font>
      <b/>
      <u/>
      <sz val="12"/>
      <name val="Arial"/>
      <family val="2"/>
    </font>
    <font>
      <b/>
      <i/>
      <sz val="11"/>
      <name val="Arial"/>
      <family val="2"/>
    </font>
    <font>
      <sz val="14"/>
      <color theme="0"/>
      <name val="Arial"/>
      <family val="2"/>
    </font>
    <font>
      <sz val="36"/>
      <color theme="0"/>
      <name val="Arial"/>
      <family val="2"/>
    </font>
  </fonts>
  <fills count="7">
    <fill>
      <patternFill patternType="none"/>
    </fill>
    <fill>
      <patternFill patternType="gray125"/>
    </fill>
    <fill>
      <patternFill patternType="solid">
        <fgColor rgb="FFF4F9EB"/>
        <bgColor indexed="64"/>
      </patternFill>
    </fill>
    <fill>
      <patternFill patternType="solid">
        <fgColor rgb="FFFFC000"/>
        <bgColor indexed="64"/>
      </patternFill>
    </fill>
    <fill>
      <patternFill patternType="solid">
        <fgColor theme="1" tint="0.249977111117893"/>
        <bgColor indexed="64"/>
      </patternFill>
    </fill>
    <fill>
      <patternFill patternType="solid">
        <fgColor theme="7" tint="0.59999389629810485"/>
        <bgColor indexed="64"/>
      </patternFill>
    </fill>
    <fill>
      <patternFill patternType="solid">
        <fgColor theme="7" tint="0.79998168889431442"/>
        <bgColor indexed="64"/>
      </patternFill>
    </fill>
  </fills>
  <borders count="45">
    <border>
      <left/>
      <right/>
      <top/>
      <bottom/>
      <diagonal/>
    </border>
    <border>
      <left/>
      <right/>
      <top style="medium">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medium">
        <color indexed="64"/>
      </left>
      <right/>
      <top/>
      <bottom style="medium">
        <color indexed="64"/>
      </bottom>
      <diagonal/>
    </border>
    <border>
      <left style="medium">
        <color rgb="FF000000"/>
      </left>
      <right/>
      <top/>
      <bottom/>
      <diagonal/>
    </border>
    <border>
      <left style="medium">
        <color indexed="64"/>
      </left>
      <right/>
      <top/>
      <bottom/>
      <diagonal/>
    </border>
    <border>
      <left/>
      <right style="medium">
        <color indexed="64"/>
      </right>
      <top style="medium">
        <color rgb="FF000000"/>
      </top>
      <bottom/>
      <diagonal/>
    </border>
    <border>
      <left/>
      <right style="medium">
        <color indexed="64"/>
      </right>
      <top/>
      <bottom style="medium">
        <color indexed="64"/>
      </bottom>
      <diagonal/>
    </border>
    <border>
      <left style="medium">
        <color auto="1"/>
      </left>
      <right style="medium">
        <color auto="1"/>
      </right>
      <top style="medium">
        <color auto="1"/>
      </top>
      <bottom style="medium">
        <color auto="1"/>
      </bottom>
      <diagonal/>
    </border>
    <border>
      <left style="medium">
        <color rgb="FF000000"/>
      </left>
      <right style="medium">
        <color rgb="FF000000"/>
      </right>
      <top/>
      <bottom/>
      <diagonal/>
    </border>
    <border>
      <left/>
      <right style="medium">
        <color indexed="64"/>
      </right>
      <top/>
      <bottom/>
      <diagonal/>
    </border>
    <border>
      <left/>
      <right style="medium">
        <color rgb="FF000000"/>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rgb="FF000000"/>
      </bottom>
      <diagonal/>
    </border>
    <border>
      <left style="medium">
        <color rgb="FF000000"/>
      </left>
      <right/>
      <top style="medium">
        <color rgb="FF000000"/>
      </top>
      <bottom/>
      <diagonal/>
    </border>
    <border>
      <left style="medium">
        <color auto="1"/>
      </left>
      <right/>
      <top style="thin">
        <color indexed="64"/>
      </top>
      <bottom/>
      <diagonal/>
    </border>
    <border>
      <left style="medium">
        <color indexed="64"/>
      </left>
      <right style="medium">
        <color rgb="FF000000"/>
      </right>
      <top style="medium">
        <color indexed="64"/>
      </top>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rgb="FF000000"/>
      </right>
      <top/>
      <bottom style="medium">
        <color indexed="64"/>
      </bottom>
      <diagonal/>
    </border>
    <border>
      <left style="medium">
        <color rgb="FF000000"/>
      </left>
      <right/>
      <top/>
      <bottom style="medium">
        <color indexed="64"/>
      </bottom>
      <diagonal/>
    </border>
    <border>
      <left/>
      <right/>
      <top/>
      <bottom style="medium">
        <color indexed="64"/>
      </bottom>
      <diagonal/>
    </border>
    <border>
      <left/>
      <right style="medium">
        <color rgb="FF000000"/>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indexed="64"/>
      </right>
      <top/>
      <bottom/>
      <diagonal/>
    </border>
    <border>
      <left style="medium">
        <color indexed="64"/>
      </left>
      <right style="medium">
        <color rgb="FF000000"/>
      </right>
      <top/>
      <bottom style="medium">
        <color rgb="FF000000"/>
      </bottom>
      <diagonal/>
    </border>
    <border>
      <left style="medium">
        <color indexed="64"/>
      </left>
      <right style="medium">
        <color rgb="FF000000"/>
      </right>
      <top/>
      <bottom/>
      <diagonal/>
    </border>
    <border>
      <left style="medium">
        <color rgb="FF000000"/>
      </left>
      <right style="medium">
        <color indexed="64"/>
      </right>
      <top style="thick">
        <color rgb="FF000000"/>
      </top>
      <bottom/>
      <diagonal/>
    </border>
    <border>
      <left/>
      <right style="medium">
        <color rgb="FF000000"/>
      </right>
      <top style="medium">
        <color indexed="64"/>
      </top>
      <bottom/>
      <diagonal/>
    </border>
    <border>
      <left style="medium">
        <color rgb="FF000000"/>
      </left>
      <right style="medium">
        <color indexed="64"/>
      </right>
      <top style="medium">
        <color indexed="64"/>
      </top>
      <bottom/>
      <diagonal/>
    </border>
    <border>
      <left style="thick">
        <color rgb="FFFF0000"/>
      </left>
      <right style="thick">
        <color rgb="FFFF0000"/>
      </right>
      <top style="thick">
        <color rgb="FFFF0000"/>
      </top>
      <bottom style="thick">
        <color rgb="FFFF0000"/>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style="thick">
        <color rgb="FFFF0000"/>
      </left>
      <right style="thick">
        <color rgb="FFFF0000"/>
      </right>
      <top/>
      <bottom/>
      <diagonal/>
    </border>
    <border>
      <left style="thick">
        <color rgb="FFFF0000"/>
      </left>
      <right/>
      <top/>
      <bottom/>
      <diagonal/>
    </border>
    <border>
      <left style="medium">
        <color indexed="64"/>
      </left>
      <right/>
      <top/>
      <bottom style="thick">
        <color rgb="FF000000"/>
      </bottom>
      <diagonal/>
    </border>
    <border>
      <left/>
      <right style="medium">
        <color indexed="64"/>
      </right>
      <top/>
      <bottom style="thick">
        <color rgb="FF000000"/>
      </bottom>
      <diagonal/>
    </border>
  </borders>
  <cellStyleXfs count="2">
    <xf numFmtId="0" fontId="0" fillId="0" borderId="0"/>
    <xf numFmtId="0" fontId="2" fillId="0" borderId="0" applyNumberFormat="0" applyFill="0" applyBorder="0" applyAlignment="0" applyProtection="0"/>
  </cellStyleXfs>
  <cellXfs count="164">
    <xf numFmtId="0" fontId="0" fillId="0" borderId="0" xfId="0"/>
    <xf numFmtId="0" fontId="5" fillId="0" borderId="0" xfId="0" applyFont="1"/>
    <xf numFmtId="0" fontId="7" fillId="0" borderId="0" xfId="0" applyFont="1"/>
    <xf numFmtId="0" fontId="8" fillId="0" borderId="0" xfId="0" applyFont="1"/>
    <xf numFmtId="0" fontId="7" fillId="0" borderId="0" xfId="0" applyFont="1" applyBorder="1"/>
    <xf numFmtId="0" fontId="5" fillId="0" borderId="0" xfId="0" applyFont="1" applyProtection="1">
      <protection locked="0"/>
    </xf>
    <xf numFmtId="0" fontId="5" fillId="2" borderId="0" xfId="0" applyFont="1" applyFill="1"/>
    <xf numFmtId="0" fontId="12" fillId="0" borderId="0" xfId="0" applyFont="1" applyProtection="1">
      <protection locked="0"/>
    </xf>
    <xf numFmtId="0" fontId="13" fillId="0" borderId="0" xfId="0" applyFont="1" applyProtection="1">
      <protection locked="0"/>
    </xf>
    <xf numFmtId="0" fontId="11" fillId="0" borderId="0" xfId="0" applyFont="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14" fillId="2" borderId="0" xfId="0" applyFont="1" applyFill="1" applyBorder="1" applyAlignment="1" applyProtection="1">
      <alignment horizontal="center" vertical="center"/>
      <protection locked="0"/>
    </xf>
    <xf numFmtId="0" fontId="14" fillId="0" borderId="19" xfId="0"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13" fillId="0" borderId="0" xfId="0" applyFont="1" applyFill="1" applyProtection="1">
      <protection locked="0"/>
    </xf>
    <xf numFmtId="0" fontId="13" fillId="0" borderId="0" xfId="0" applyFont="1" applyBorder="1" applyProtection="1">
      <protection locked="0"/>
    </xf>
    <xf numFmtId="0" fontId="17" fillId="2" borderId="0" xfId="0" applyFont="1" applyFill="1" applyProtection="1">
      <protection locked="0"/>
    </xf>
    <xf numFmtId="0" fontId="17" fillId="0" borderId="0" xfId="0" applyFont="1" applyProtection="1">
      <protection locked="0"/>
    </xf>
    <xf numFmtId="0" fontId="15" fillId="0" borderId="0" xfId="0" applyFont="1" applyFill="1" applyBorder="1" applyAlignment="1" applyProtection="1">
      <alignment horizontal="center" vertical="center" wrapText="1"/>
      <protection locked="0"/>
    </xf>
    <xf numFmtId="0" fontId="5" fillId="0" borderId="0" xfId="0" applyFont="1" applyAlignment="1">
      <alignment horizontal="center" vertical="center"/>
    </xf>
    <xf numFmtId="0" fontId="14" fillId="0" borderId="0" xfId="0" applyFont="1" applyFill="1" applyBorder="1" applyAlignment="1" applyProtection="1">
      <alignment horizontal="center" vertical="center" wrapText="1"/>
      <protection locked="0"/>
    </xf>
    <xf numFmtId="0" fontId="4" fillId="4" borderId="11" xfId="0" applyFont="1" applyFill="1" applyBorder="1" applyAlignment="1">
      <alignment vertical="top" wrapText="1"/>
    </xf>
    <xf numFmtId="0" fontId="6" fillId="4" borderId="6" xfId="0" applyFont="1" applyFill="1" applyBorder="1" applyAlignment="1">
      <alignment horizontal="center" vertical="center" wrapText="1"/>
    </xf>
    <xf numFmtId="0" fontId="6" fillId="4" borderId="35" xfId="0" applyFont="1" applyFill="1" applyBorder="1" applyAlignment="1">
      <alignment horizontal="center" vertical="center" wrapText="1"/>
    </xf>
    <xf numFmtId="0" fontId="21" fillId="4" borderId="14" xfId="0" applyFont="1" applyFill="1" applyBorder="1" applyAlignment="1">
      <alignment horizontal="left" vertical="center" wrapText="1"/>
    </xf>
    <xf numFmtId="0" fontId="21" fillId="4" borderId="15" xfId="0" applyFont="1" applyFill="1" applyBorder="1" applyAlignment="1">
      <alignment horizontal="left" vertical="center" wrapText="1"/>
    </xf>
    <xf numFmtId="0" fontId="19" fillId="4" borderId="15" xfId="0" applyFont="1" applyFill="1" applyBorder="1" applyAlignment="1" applyProtection="1">
      <alignment vertical="center"/>
      <protection locked="0"/>
    </xf>
    <xf numFmtId="0" fontId="1" fillId="3" borderId="30" xfId="0" applyFont="1" applyFill="1" applyBorder="1" applyAlignment="1">
      <alignment horizontal="center" vertical="center" wrapText="1"/>
    </xf>
    <xf numFmtId="0" fontId="9" fillId="3" borderId="25" xfId="1" applyFont="1" applyFill="1" applyBorder="1" applyAlignment="1">
      <alignment horizontal="center" vertical="center" wrapText="1"/>
    </xf>
    <xf numFmtId="0" fontId="1" fillId="3" borderId="10" xfId="0" applyFont="1" applyFill="1" applyBorder="1" applyAlignment="1">
      <alignment horizontal="center" vertical="center" wrapText="1"/>
    </xf>
    <xf numFmtId="0" fontId="9" fillId="3" borderId="32" xfId="1" applyFont="1" applyFill="1" applyBorder="1" applyAlignment="1">
      <alignment horizontal="center" vertical="center" wrapText="1"/>
    </xf>
    <xf numFmtId="0" fontId="1" fillId="3" borderId="32" xfId="0" applyFont="1" applyFill="1" applyBorder="1" applyAlignment="1">
      <alignment horizontal="center" vertical="center" wrapText="1"/>
    </xf>
    <xf numFmtId="0" fontId="4" fillId="4" borderId="18" xfId="0" applyFont="1" applyFill="1" applyBorder="1" applyAlignment="1">
      <alignment vertical="top" wrapText="1"/>
    </xf>
    <xf numFmtId="0" fontId="19" fillId="4" borderId="37" xfId="0" applyFont="1" applyFill="1" applyBorder="1" applyAlignment="1">
      <alignment horizontal="center" vertical="center" wrapText="1"/>
    </xf>
    <xf numFmtId="0" fontId="3" fillId="3" borderId="10" xfId="0" applyFont="1" applyFill="1" applyBorder="1" applyAlignment="1">
      <alignment horizontal="center" vertical="center"/>
    </xf>
    <xf numFmtId="0" fontId="3" fillId="5" borderId="10" xfId="0" applyFont="1" applyFill="1" applyBorder="1" applyAlignment="1">
      <alignment horizontal="center" vertical="center"/>
    </xf>
    <xf numFmtId="0" fontId="22" fillId="6" borderId="21" xfId="0" applyFont="1" applyFill="1" applyBorder="1" applyAlignment="1">
      <alignment horizontal="left" vertical="center" wrapText="1" indent="1"/>
    </xf>
    <xf numFmtId="0" fontId="23" fillId="6" borderId="23" xfId="1" applyFont="1" applyFill="1" applyBorder="1" applyAlignment="1" applyProtection="1">
      <alignment horizontal="center" vertical="top" wrapText="1"/>
      <protection locked="0"/>
    </xf>
    <xf numFmtId="0" fontId="24" fillId="6" borderId="24" xfId="1" applyFont="1" applyFill="1" applyBorder="1" applyAlignment="1">
      <alignment horizontal="center" vertical="center" wrapText="1"/>
    </xf>
    <xf numFmtId="0" fontId="24" fillId="6" borderId="23" xfId="1" applyFont="1" applyFill="1" applyBorder="1" applyAlignment="1">
      <alignment horizontal="center" vertical="center" wrapText="1"/>
    </xf>
    <xf numFmtId="0" fontId="22" fillId="6" borderId="27" xfId="0" applyFont="1" applyFill="1" applyBorder="1" applyAlignment="1">
      <alignment horizontal="left" vertical="center" wrapText="1" indent="1"/>
    </xf>
    <xf numFmtId="0" fontId="22" fillId="6" borderId="9" xfId="0" applyFont="1" applyFill="1" applyBorder="1"/>
    <xf numFmtId="0" fontId="22" fillId="6" borderId="5" xfId="0" applyFont="1" applyFill="1" applyBorder="1" applyAlignment="1">
      <alignment horizontal="left" vertical="center" wrapText="1" indent="1"/>
    </xf>
    <xf numFmtId="0" fontId="22" fillId="6" borderId="6" xfId="0" applyFont="1" applyFill="1" applyBorder="1" applyAlignment="1">
      <alignment horizontal="left" vertical="center" wrapText="1" indent="1"/>
    </xf>
    <xf numFmtId="0" fontId="24" fillId="6" borderId="12" xfId="1" applyFont="1" applyFill="1" applyBorder="1" applyAlignment="1">
      <alignment horizontal="center" vertical="center" wrapText="1"/>
    </xf>
    <xf numFmtId="0" fontId="24" fillId="6" borderId="7" xfId="1" applyFont="1" applyFill="1" applyBorder="1" applyAlignment="1">
      <alignment horizontal="center" vertical="center" wrapText="1"/>
    </xf>
    <xf numFmtId="0" fontId="25" fillId="6" borderId="12" xfId="1" applyFont="1" applyFill="1" applyBorder="1" applyAlignment="1">
      <alignment horizontal="center" vertical="center" wrapText="1"/>
    </xf>
    <xf numFmtId="0" fontId="22" fillId="6" borderId="2" xfId="0" applyFont="1" applyFill="1" applyBorder="1" applyAlignment="1">
      <alignment horizontal="left" vertical="center" wrapText="1" indent="1"/>
    </xf>
    <xf numFmtId="0" fontId="22" fillId="6" borderId="3" xfId="0" applyFont="1" applyFill="1" applyBorder="1" applyAlignment="1">
      <alignment horizontal="left" wrapText="1" indent="1"/>
    </xf>
    <xf numFmtId="0" fontId="22" fillId="6" borderId="0" xfId="0" applyFont="1" applyFill="1" applyBorder="1" applyAlignment="1">
      <alignment horizontal="left" vertical="center" wrapText="1" indent="1"/>
    </xf>
    <xf numFmtId="0" fontId="24" fillId="6" borderId="8" xfId="1" applyFont="1" applyFill="1" applyBorder="1" applyAlignment="1">
      <alignment horizontal="center" vertical="center" wrapText="1"/>
    </xf>
    <xf numFmtId="0" fontId="9" fillId="6" borderId="7" xfId="1" applyFont="1" applyFill="1" applyBorder="1" applyAlignment="1">
      <alignment horizontal="center" vertical="center" wrapText="1"/>
    </xf>
    <xf numFmtId="0" fontId="9" fillId="6" borderId="8" xfId="1" applyFont="1" applyFill="1" applyBorder="1" applyAlignment="1">
      <alignment horizontal="center" vertical="center" wrapText="1"/>
    </xf>
    <xf numFmtId="0" fontId="22" fillId="6" borderId="12" xfId="0" applyFont="1" applyFill="1" applyBorder="1"/>
    <xf numFmtId="0" fontId="1" fillId="6" borderId="7" xfId="0" applyFont="1" applyFill="1" applyBorder="1" applyAlignment="1">
      <alignment horizontal="left" vertical="center" wrapText="1" indent="1"/>
    </xf>
    <xf numFmtId="0" fontId="1" fillId="6" borderId="13" xfId="0" applyFont="1" applyFill="1" applyBorder="1" applyAlignment="1">
      <alignment horizontal="left" wrapText="1" indent="1"/>
    </xf>
    <xf numFmtId="0" fontId="22" fillId="6" borderId="10" xfId="0" applyFont="1" applyFill="1" applyBorder="1" applyAlignment="1">
      <alignment horizontal="left" vertical="center" wrapText="1" indent="1"/>
    </xf>
    <xf numFmtId="0" fontId="22" fillId="6" borderId="15" xfId="0" applyFont="1" applyFill="1" applyBorder="1" applyAlignment="1">
      <alignment horizontal="left" vertical="center" wrapText="1" indent="1"/>
    </xf>
    <xf numFmtId="0" fontId="22" fillId="6" borderId="16" xfId="0" applyFont="1" applyFill="1" applyBorder="1"/>
    <xf numFmtId="0" fontId="1" fillId="6" borderId="14" xfId="0" applyFont="1" applyFill="1" applyBorder="1" applyAlignment="1">
      <alignment horizontal="left" vertical="center" wrapText="1" indent="1"/>
    </xf>
    <xf numFmtId="0" fontId="1" fillId="6" borderId="15" xfId="0" applyFont="1" applyFill="1" applyBorder="1" applyAlignment="1">
      <alignment horizontal="left" wrapText="1" indent="1"/>
    </xf>
    <xf numFmtId="0" fontId="9" fillId="6" borderId="24" xfId="1" applyFont="1" applyFill="1" applyBorder="1" applyAlignment="1">
      <alignment horizontal="center" vertical="center" wrapText="1"/>
    </xf>
    <xf numFmtId="0" fontId="9" fillId="6" borderId="23" xfId="1" applyFont="1" applyFill="1" applyBorder="1" applyAlignment="1">
      <alignment horizontal="center" vertical="center" wrapText="1"/>
    </xf>
    <xf numFmtId="0" fontId="1" fillId="6" borderId="5" xfId="0" applyFont="1" applyFill="1" applyBorder="1" applyAlignment="1">
      <alignment horizontal="left" vertical="center" wrapText="1" indent="1"/>
    </xf>
    <xf numFmtId="0" fontId="1" fillId="6" borderId="29" xfId="0" applyFont="1" applyFill="1" applyBorder="1" applyAlignment="1">
      <alignment horizontal="left" wrapText="1" indent="1"/>
    </xf>
    <xf numFmtId="0" fontId="22" fillId="6" borderId="14" xfId="0" applyFont="1" applyFill="1" applyBorder="1" applyAlignment="1">
      <alignment horizontal="left" vertical="center" wrapText="1" indent="1"/>
    </xf>
    <xf numFmtId="0" fontId="1" fillId="6" borderId="16" xfId="0" applyFont="1" applyFill="1" applyBorder="1" applyAlignment="1">
      <alignment horizontal="left" wrapText="1" indent="1"/>
    </xf>
    <xf numFmtId="0" fontId="9" fillId="6" borderId="12" xfId="1" applyFont="1" applyFill="1" applyBorder="1" applyAlignment="1">
      <alignment horizontal="center" vertical="center" wrapText="1"/>
    </xf>
    <xf numFmtId="0" fontId="1" fillId="6" borderId="3" xfId="0" applyFont="1" applyFill="1" applyBorder="1" applyAlignment="1">
      <alignment horizontal="left" wrapText="1" indent="1"/>
    </xf>
    <xf numFmtId="0" fontId="22" fillId="6" borderId="31" xfId="0" applyFont="1" applyFill="1" applyBorder="1" applyAlignment="1">
      <alignment horizontal="left" vertical="center" wrapText="1" indent="1"/>
    </xf>
    <xf numFmtId="0" fontId="25" fillId="6" borderId="8" xfId="1" applyFont="1" applyFill="1" applyBorder="1" applyAlignment="1">
      <alignment horizontal="center" vertical="center" wrapText="1"/>
    </xf>
    <xf numFmtId="0" fontId="10" fillId="6" borderId="22" xfId="0" applyFont="1" applyFill="1" applyBorder="1" applyAlignment="1" applyProtection="1">
      <alignment horizontal="center" vertical="top"/>
      <protection locked="0"/>
    </xf>
    <xf numFmtId="0" fontId="22" fillId="6" borderId="24" xfId="0" applyFont="1" applyFill="1" applyBorder="1" applyAlignment="1">
      <alignment horizontal="left" vertical="center" wrapText="1" indent="1"/>
    </xf>
    <xf numFmtId="0" fontId="23" fillId="6" borderId="12" xfId="1" applyFont="1" applyFill="1" applyBorder="1" applyAlignment="1" applyProtection="1">
      <alignment horizontal="center" vertical="top" wrapText="1"/>
      <protection locked="0"/>
    </xf>
    <xf numFmtId="0" fontId="9" fillId="6" borderId="0" xfId="1" applyFont="1" applyFill="1" applyBorder="1" applyAlignment="1">
      <alignment horizontal="center" vertical="center" wrapText="1"/>
    </xf>
    <xf numFmtId="0" fontId="1" fillId="6" borderId="27" xfId="0" applyFont="1" applyFill="1" applyBorder="1" applyAlignment="1">
      <alignment horizontal="left" vertical="center" wrapText="1" indent="1"/>
    </xf>
    <xf numFmtId="0" fontId="8" fillId="0" borderId="0" xfId="0" applyFont="1" applyAlignment="1">
      <alignment wrapText="1"/>
    </xf>
    <xf numFmtId="0" fontId="15" fillId="0" borderId="0" xfId="0" applyFont="1" applyFill="1" applyBorder="1" applyAlignment="1" applyProtection="1">
      <alignment horizontal="center" vertical="center" wrapText="1"/>
      <protection locked="0"/>
    </xf>
    <xf numFmtId="0" fontId="2" fillId="6" borderId="22" xfId="1" applyFill="1" applyBorder="1" applyAlignment="1">
      <alignment horizontal="center" vertical="center" wrapText="1"/>
    </xf>
    <xf numFmtId="0" fontId="1" fillId="6" borderId="28" xfId="0" applyFont="1" applyFill="1" applyBorder="1" applyAlignment="1">
      <alignment horizontal="left" wrapText="1" indent="1"/>
    </xf>
    <xf numFmtId="0" fontId="9" fillId="3" borderId="39" xfId="1" applyFont="1" applyFill="1" applyBorder="1" applyAlignment="1">
      <alignment horizontal="center" vertical="center" wrapText="1"/>
    </xf>
    <xf numFmtId="0" fontId="1" fillId="3" borderId="40" xfId="0" applyFont="1" applyFill="1" applyBorder="1" applyAlignment="1">
      <alignment horizontal="center" vertical="center" wrapText="1"/>
    </xf>
    <xf numFmtId="0" fontId="1" fillId="3" borderId="25" xfId="0" applyFont="1" applyFill="1" applyBorder="1" applyAlignment="1">
      <alignment horizontal="center" vertical="center" wrapText="1"/>
    </xf>
    <xf numFmtId="0" fontId="24" fillId="6" borderId="22" xfId="1" applyFont="1" applyFill="1" applyBorder="1" applyAlignment="1">
      <alignment horizontal="center" vertical="center" wrapText="1"/>
    </xf>
    <xf numFmtId="0" fontId="22" fillId="6" borderId="28" xfId="0" applyFont="1" applyFill="1" applyBorder="1" applyAlignment="1">
      <alignment horizontal="left" wrapText="1" indent="1"/>
    </xf>
    <xf numFmtId="0" fontId="21" fillId="4" borderId="23" xfId="0" applyFont="1" applyFill="1" applyBorder="1" applyAlignment="1">
      <alignment horizontal="center" vertical="center" wrapText="1"/>
    </xf>
    <xf numFmtId="0" fontId="1" fillId="3" borderId="38" xfId="0" applyFont="1" applyFill="1" applyBorder="1" applyAlignment="1">
      <alignment horizontal="center" vertical="center" wrapText="1"/>
    </xf>
    <xf numFmtId="0" fontId="7" fillId="0" borderId="0" xfId="0" applyFont="1" applyBorder="1" applyAlignment="1">
      <alignment horizontal="center"/>
    </xf>
    <xf numFmtId="0" fontId="2" fillId="6" borderId="15" xfId="1" applyFill="1" applyBorder="1" applyAlignment="1">
      <alignment horizontal="center" vertical="center" wrapText="1"/>
    </xf>
    <xf numFmtId="0" fontId="21" fillId="4" borderId="15" xfId="0" applyFont="1" applyFill="1" applyBorder="1" applyAlignment="1">
      <alignment horizontal="center" vertical="center" wrapText="1"/>
    </xf>
    <xf numFmtId="0" fontId="18" fillId="4" borderId="15" xfId="0" applyFont="1" applyFill="1" applyBorder="1" applyAlignment="1" applyProtection="1">
      <alignment horizontal="center" vertical="center"/>
      <protection locked="0"/>
    </xf>
    <xf numFmtId="0" fontId="5" fillId="0" borderId="0" xfId="0" applyFont="1" applyAlignment="1">
      <alignment horizontal="center"/>
    </xf>
    <xf numFmtId="0" fontId="2" fillId="6" borderId="28" xfId="1" applyFill="1" applyBorder="1" applyAlignment="1">
      <alignment horizontal="center" vertical="center" wrapText="1"/>
    </xf>
    <xf numFmtId="0" fontId="9" fillId="3" borderId="41" xfId="1" applyFont="1" applyFill="1" applyBorder="1" applyAlignment="1">
      <alignment horizontal="center" vertical="center" wrapText="1"/>
    </xf>
    <xf numFmtId="0" fontId="6" fillId="6" borderId="14" xfId="0" applyFont="1" applyFill="1" applyBorder="1" applyAlignment="1">
      <alignment horizontal="center" vertical="center" wrapText="1"/>
    </xf>
    <xf numFmtId="0" fontId="6" fillId="6" borderId="16"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1" fillId="6" borderId="0" xfId="0" applyFont="1" applyFill="1" applyBorder="1" applyAlignment="1">
      <alignment horizontal="left" wrapText="1" indent="1"/>
    </xf>
    <xf numFmtId="0" fontId="1" fillId="6" borderId="9" xfId="0" applyFont="1" applyFill="1" applyBorder="1" applyAlignment="1">
      <alignment horizontal="left" wrapText="1" indent="1"/>
    </xf>
    <xf numFmtId="0" fontId="22" fillId="6" borderId="7" xfId="0" applyFont="1" applyFill="1" applyBorder="1" applyAlignment="1">
      <alignment horizontal="left" vertical="center" wrapText="1" indent="1"/>
    </xf>
    <xf numFmtId="0" fontId="4" fillId="4" borderId="34" xfId="0" applyFont="1" applyFill="1" applyBorder="1" applyAlignment="1">
      <alignment vertical="top" wrapText="1"/>
    </xf>
    <xf numFmtId="0" fontId="4" fillId="6" borderId="10" xfId="0" applyFont="1" applyFill="1" applyBorder="1" applyAlignment="1">
      <alignment horizontal="left" vertical="center" wrapText="1"/>
    </xf>
    <xf numFmtId="0" fontId="1" fillId="6" borderId="15" xfId="0" applyFont="1" applyFill="1" applyBorder="1" applyAlignment="1">
      <alignment horizontal="left" vertical="center" wrapText="1"/>
    </xf>
    <xf numFmtId="0" fontId="2" fillId="6" borderId="22" xfId="1" applyFill="1" applyBorder="1" applyAlignment="1">
      <alignment horizontal="left" vertical="center" wrapText="1"/>
    </xf>
    <xf numFmtId="0" fontId="22" fillId="6" borderId="28" xfId="0" applyFont="1" applyFill="1" applyBorder="1" applyAlignment="1">
      <alignment horizontal="left" vertical="top" wrapText="1"/>
    </xf>
    <xf numFmtId="0" fontId="2" fillId="6" borderId="0" xfId="1" applyFill="1" applyBorder="1" applyAlignment="1">
      <alignment horizontal="left" vertical="center" wrapText="1"/>
    </xf>
    <xf numFmtId="0" fontId="22" fillId="6" borderId="4" xfId="0" applyFont="1" applyFill="1" applyBorder="1" applyAlignment="1">
      <alignment horizontal="left" vertical="top" wrapText="1"/>
    </xf>
    <xf numFmtId="0" fontId="27" fillId="4" borderId="14" xfId="0" applyFont="1" applyFill="1" applyBorder="1" applyAlignment="1" applyProtection="1">
      <alignment horizontal="center" vertical="center"/>
      <protection locked="0"/>
    </xf>
    <xf numFmtId="0" fontId="2" fillId="6" borderId="22" xfId="1" applyFill="1" applyBorder="1" applyAlignment="1">
      <alignment horizontal="center" vertical="center" wrapText="1"/>
    </xf>
    <xf numFmtId="0" fontId="22" fillId="6" borderId="1" xfId="0" applyFont="1" applyFill="1" applyBorder="1" applyAlignment="1">
      <alignment horizontal="left" vertical="center" wrapText="1" indent="1"/>
    </xf>
    <xf numFmtId="0" fontId="24" fillId="6" borderId="0" xfId="1" applyFont="1" applyFill="1" applyBorder="1" applyAlignment="1">
      <alignment horizontal="center" vertical="center" wrapText="1"/>
    </xf>
    <xf numFmtId="0" fontId="2" fillId="6" borderId="1" xfId="1" applyFill="1" applyBorder="1" applyAlignment="1">
      <alignment horizontal="center" vertical="center" wrapText="1"/>
    </xf>
    <xf numFmtId="0" fontId="27" fillId="4" borderId="15" xfId="0" applyFont="1" applyFill="1" applyBorder="1" applyAlignment="1">
      <alignment horizontal="left" vertical="center" wrapText="1"/>
    </xf>
    <xf numFmtId="2" fontId="28" fillId="4" borderId="15" xfId="0" applyNumberFormat="1" applyFont="1" applyFill="1" applyBorder="1" applyAlignment="1" applyProtection="1">
      <alignment vertical="center"/>
    </xf>
    <xf numFmtId="0" fontId="5" fillId="0" borderId="0" xfId="0" applyFont="1" applyAlignment="1" applyProtection="1">
      <alignment horizontal="center"/>
      <protection locked="0"/>
    </xf>
    <xf numFmtId="0" fontId="3" fillId="5" borderId="14" xfId="0" applyFont="1" applyFill="1" applyBorder="1" applyAlignment="1">
      <alignment horizontal="center" vertical="center"/>
    </xf>
    <xf numFmtId="0" fontId="3" fillId="5" borderId="16" xfId="0" applyFont="1" applyFill="1" applyBorder="1" applyAlignment="1">
      <alignment horizontal="center" vertical="center"/>
    </xf>
    <xf numFmtId="0" fontId="22" fillId="6" borderId="34" xfId="0" applyFont="1" applyFill="1" applyBorder="1" applyAlignment="1">
      <alignment horizontal="left" vertical="center" wrapText="1" indent="1"/>
    </xf>
    <xf numFmtId="0" fontId="22" fillId="6" borderId="0" xfId="0" applyFont="1" applyFill="1" applyBorder="1" applyAlignment="1">
      <alignment horizontal="left" vertical="center" wrapText="1" indent="1"/>
    </xf>
    <xf numFmtId="0" fontId="22" fillId="6" borderId="4" xfId="0" applyFont="1" applyFill="1" applyBorder="1" applyAlignment="1">
      <alignment horizontal="left" vertical="center" wrapText="1" indent="1"/>
    </xf>
    <xf numFmtId="0" fontId="22" fillId="6" borderId="20" xfId="0" applyFont="1" applyFill="1" applyBorder="1" applyAlignment="1">
      <alignment horizontal="left" vertical="center" wrapText="1" indent="1"/>
    </xf>
    <xf numFmtId="0" fontId="22" fillId="6" borderId="26" xfId="0" applyFont="1" applyFill="1" applyBorder="1" applyAlignment="1">
      <alignment horizontal="left" vertical="center" wrapText="1" indent="1"/>
    </xf>
    <xf numFmtId="0" fontId="22" fillId="6" borderId="22" xfId="0" applyFont="1" applyFill="1" applyBorder="1" applyAlignment="1">
      <alignment horizontal="left" vertical="center" wrapText="1" indent="1"/>
    </xf>
    <xf numFmtId="0" fontId="22" fillId="6" borderId="28" xfId="0" applyFont="1" applyFill="1" applyBorder="1" applyAlignment="1">
      <alignment horizontal="left" vertical="center" wrapText="1" indent="1"/>
    </xf>
    <xf numFmtId="0" fontId="2" fillId="6" borderId="1" xfId="1" applyFill="1" applyBorder="1" applyAlignment="1">
      <alignment horizontal="center" vertical="center" wrapText="1"/>
    </xf>
    <xf numFmtId="0" fontId="1" fillId="6" borderId="0" xfId="0" applyFont="1" applyFill="1" applyBorder="1" applyAlignment="1">
      <alignment horizontal="center" vertical="center" wrapText="1"/>
    </xf>
    <xf numFmtId="0" fontId="22" fillId="6" borderId="1" xfId="0" applyFont="1" applyFill="1" applyBorder="1" applyAlignment="1">
      <alignment horizontal="left" vertical="center" wrapText="1" indent="1"/>
    </xf>
    <xf numFmtId="0" fontId="22" fillId="6" borderId="25" xfId="0" applyFont="1" applyFill="1" applyBorder="1" applyAlignment="1">
      <alignment horizontal="left" vertical="center" wrapText="1" indent="1"/>
    </xf>
    <xf numFmtId="0" fontId="22" fillId="6" borderId="32" xfId="0" applyFont="1" applyFill="1" applyBorder="1" applyAlignment="1">
      <alignment horizontal="left" vertical="center" wrapText="1" indent="1"/>
    </xf>
    <xf numFmtId="0" fontId="20" fillId="4" borderId="15" xfId="0" applyFont="1" applyFill="1" applyBorder="1" applyAlignment="1" applyProtection="1">
      <alignment vertical="center"/>
      <protection locked="0"/>
    </xf>
    <xf numFmtId="0" fontId="3" fillId="5" borderId="10" xfId="0" applyFont="1" applyFill="1" applyBorder="1" applyAlignment="1">
      <alignment horizontal="center" vertical="center"/>
    </xf>
    <xf numFmtId="0" fontId="16" fillId="0" borderId="0" xfId="0" applyFont="1" applyAlignment="1">
      <alignment horizontal="left"/>
    </xf>
    <xf numFmtId="0" fontId="3" fillId="3" borderId="10" xfId="0" applyFont="1" applyFill="1" applyBorder="1" applyAlignment="1">
      <alignment horizontal="center" vertical="center"/>
    </xf>
    <xf numFmtId="0" fontId="19" fillId="4" borderId="15" xfId="0" applyFont="1" applyFill="1" applyBorder="1" applyAlignment="1" applyProtection="1">
      <alignment horizontal="center" vertical="center" wrapText="1"/>
    </xf>
    <xf numFmtId="0" fontId="19" fillId="4" borderId="16" xfId="0" applyFont="1" applyFill="1" applyBorder="1" applyAlignment="1" applyProtection="1">
      <alignment horizontal="center" vertical="center" wrapText="1"/>
    </xf>
    <xf numFmtId="0" fontId="2" fillId="6" borderId="24" xfId="1" applyFill="1" applyBorder="1" applyAlignment="1">
      <alignment horizontal="center" vertical="center" wrapText="1"/>
    </xf>
    <xf numFmtId="0" fontId="2" fillId="6" borderId="22" xfId="1" applyFill="1" applyBorder="1" applyAlignment="1">
      <alignment horizontal="center" vertical="center" wrapText="1"/>
    </xf>
    <xf numFmtId="0" fontId="2" fillId="6" borderId="23" xfId="1" applyFill="1" applyBorder="1" applyAlignment="1">
      <alignment horizontal="center" vertical="center" wrapText="1"/>
    </xf>
    <xf numFmtId="0" fontId="2" fillId="6" borderId="7" xfId="1" applyFill="1" applyBorder="1" applyAlignment="1">
      <alignment horizontal="center" vertical="center" wrapText="1"/>
    </xf>
    <xf numFmtId="0" fontId="2" fillId="6" borderId="0" xfId="1" applyFill="1" applyBorder="1" applyAlignment="1">
      <alignment horizontal="center" vertical="center" wrapText="1"/>
    </xf>
    <xf numFmtId="0" fontId="2" fillId="6" borderId="12" xfId="1" applyFill="1" applyBorder="1" applyAlignment="1">
      <alignment horizontal="center" vertical="center" wrapText="1"/>
    </xf>
    <xf numFmtId="0" fontId="22" fillId="6" borderId="31" xfId="0" applyFont="1" applyFill="1" applyBorder="1" applyAlignment="1">
      <alignment horizontal="left" vertical="center" wrapText="1" indent="1"/>
    </xf>
    <xf numFmtId="0" fontId="1" fillId="6" borderId="4" xfId="0" applyFont="1" applyFill="1" applyBorder="1" applyAlignment="1">
      <alignment horizontal="center" vertical="center" wrapText="1"/>
    </xf>
    <xf numFmtId="0" fontId="19" fillId="4" borderId="24" xfId="0" applyFont="1" applyFill="1" applyBorder="1" applyAlignment="1">
      <alignment horizontal="center" vertical="center" wrapText="1"/>
    </xf>
    <xf numFmtId="0" fontId="19" fillId="4" borderId="22" xfId="0" applyFont="1" applyFill="1" applyBorder="1" applyAlignment="1">
      <alignment horizontal="center" vertical="center" wrapText="1"/>
    </xf>
    <xf numFmtId="0" fontId="19" fillId="4" borderId="36" xfId="0" applyFont="1" applyFill="1" applyBorder="1" applyAlignment="1">
      <alignment horizontal="center" vertical="center" wrapText="1"/>
    </xf>
    <xf numFmtId="0" fontId="19" fillId="4" borderId="21" xfId="0" applyFont="1" applyFill="1" applyBorder="1" applyAlignment="1">
      <alignment horizontal="center" vertical="center" wrapText="1"/>
    </xf>
    <xf numFmtId="0" fontId="6" fillId="4" borderId="6"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15" fillId="0" borderId="42" xfId="0" applyFont="1" applyFill="1" applyBorder="1" applyAlignment="1" applyProtection="1">
      <alignment horizontal="center" vertical="center" wrapText="1"/>
      <protection locked="0"/>
    </xf>
    <xf numFmtId="0" fontId="21" fillId="4" borderId="14" xfId="0" applyFont="1" applyFill="1" applyBorder="1" applyAlignment="1">
      <alignment horizontal="left" vertical="center" wrapText="1"/>
    </xf>
    <xf numFmtId="0" fontId="21" fillId="4" borderId="15" xfId="0" applyFont="1" applyFill="1" applyBorder="1" applyAlignment="1">
      <alignment horizontal="left" vertical="center" wrapText="1"/>
    </xf>
    <xf numFmtId="0" fontId="21" fillId="4" borderId="16" xfId="0" applyFont="1" applyFill="1" applyBorder="1" applyAlignment="1">
      <alignment horizontal="left" vertical="center" wrapText="1"/>
    </xf>
    <xf numFmtId="0" fontId="1" fillId="6" borderId="28" xfId="0" applyFont="1" applyFill="1" applyBorder="1" applyAlignment="1">
      <alignment horizontal="center" vertical="center" wrapText="1"/>
    </xf>
    <xf numFmtId="0" fontId="22" fillId="6" borderId="30" xfId="0" applyFont="1" applyFill="1" applyBorder="1" applyAlignment="1">
      <alignment horizontal="left" vertical="center" wrapText="1" indent="1"/>
    </xf>
    <xf numFmtId="0" fontId="22" fillId="6" borderId="33" xfId="0" applyFont="1" applyFill="1" applyBorder="1" applyAlignment="1">
      <alignment horizontal="left" vertical="center" wrapText="1" indent="1"/>
    </xf>
    <xf numFmtId="0" fontId="22" fillId="6" borderId="22" xfId="0" applyFont="1" applyFill="1" applyBorder="1" applyAlignment="1">
      <alignment horizontal="left" vertical="center" wrapText="1"/>
    </xf>
    <xf numFmtId="0" fontId="22" fillId="6" borderId="0" xfId="0" applyFont="1" applyFill="1" applyBorder="1" applyAlignment="1">
      <alignment horizontal="left" vertical="center" wrapText="1"/>
    </xf>
    <xf numFmtId="0" fontId="22" fillId="6" borderId="28" xfId="0" applyFont="1" applyFill="1" applyBorder="1" applyAlignment="1">
      <alignment horizontal="left" vertical="center" wrapText="1"/>
    </xf>
    <xf numFmtId="0" fontId="21" fillId="4" borderId="43" xfId="0" applyFont="1" applyFill="1" applyBorder="1" applyAlignment="1">
      <alignment horizontal="left" vertical="center" wrapText="1"/>
    </xf>
    <xf numFmtId="0" fontId="21" fillId="4" borderId="17" xfId="0" applyFont="1" applyFill="1" applyBorder="1" applyAlignment="1">
      <alignment horizontal="left" vertical="center" wrapText="1"/>
    </xf>
    <xf numFmtId="0" fontId="21" fillId="4" borderId="44" xfId="0" applyFont="1" applyFill="1" applyBorder="1" applyAlignment="1">
      <alignment horizontal="left" vertical="center" wrapText="1"/>
    </xf>
  </cellXfs>
  <cellStyles count="2">
    <cellStyle name="Hyperlink" xfId="1" builtinId="8"/>
    <cellStyle name="Normal" xfId="0" builtinId="0"/>
  </cellStyles>
  <dxfs count="0"/>
  <tableStyles count="0" defaultTableStyle="TableStyleMedium2" defaultPivotStyle="PivotStyleLight16"/>
  <colors>
    <mruColors>
      <color rgb="FFBDDC8A"/>
      <color rgb="FFF4F9EB"/>
      <color rgb="FFD9EABB"/>
      <color rgb="FFA2CD5A"/>
      <color rgb="FFC6E19B"/>
      <color rgb="FFB4D77B"/>
      <color rgb="FF8BBD39"/>
      <color rgb="FF79973F"/>
      <color rgb="FFF7FCE9"/>
      <color rgb="FFE4F4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CheckBox" fmlaLink="Z105" lockText="1" noThreeD="1"/>
</file>

<file path=xl/ctrlProps/ctrlProp2.xml><?xml version="1.0" encoding="utf-8"?>
<formControlPr xmlns="http://schemas.microsoft.com/office/spreadsheetml/2009/9/main" objectType="CheckBox" fmlaLink="Z106" lockText="1" noThreeD="1"/>
</file>

<file path=xl/ctrlProps/ctrlProp3.xml><?xml version="1.0" encoding="utf-8"?>
<formControlPr xmlns="http://schemas.microsoft.com/office/spreadsheetml/2009/9/main" objectType="CheckBox" fmlaLink="Z107" lockText="1" noThreeD="1"/>
</file>

<file path=xl/ctrlProps/ctrlProp4.xml><?xml version="1.0" encoding="utf-8"?>
<formControlPr xmlns="http://schemas.microsoft.com/office/spreadsheetml/2009/9/main" objectType="CheckBox" fmlaLink="Z109" lockText="1" noThreeD="1"/>
</file>

<file path=xl/ctrlProps/ctrlProp5.xml><?xml version="1.0" encoding="utf-8"?>
<formControlPr xmlns="http://schemas.microsoft.com/office/spreadsheetml/2009/9/main" objectType="CheckBox" fmlaLink="Z110" lockText="1" noThreeD="1"/>
</file>

<file path=xl/ctrlProps/ctrlProp6.xml><?xml version="1.0" encoding="utf-8"?>
<formControlPr xmlns="http://schemas.microsoft.com/office/spreadsheetml/2009/9/main" objectType="CheckBox" fmlaLink="Z111" lockText="1" noThreeD="1"/>
</file>

<file path=xl/ctrlProps/ctrlProp7.xml><?xml version="1.0" encoding="utf-8"?>
<formControlPr xmlns="http://schemas.microsoft.com/office/spreadsheetml/2009/9/main" objectType="CheckBox" fmlaLink="Z113" lockText="1" noThreeD="1"/>
</file>

<file path=xl/ctrlProps/ctrlProp8.xml><?xml version="1.0" encoding="utf-8"?>
<formControlPr xmlns="http://schemas.microsoft.com/office/spreadsheetml/2009/9/main" objectType="CheckBox" fmlaLink="Z114" lockText="1" noThreeD="1"/>
</file>

<file path=xl/ctrlProps/ctrlProp9.xml><?xml version="1.0" encoding="utf-8"?>
<formControlPr xmlns="http://schemas.microsoft.com/office/spreadsheetml/2009/9/main" objectType="CheckBox" fmlaLink="Z115" lockText="1" noThreeD="1"/>
</file>

<file path=xl/ctrlProps/ctrlProp10.xml><?xml version="1.0" encoding="utf-8"?>
<formControlPr xmlns="http://schemas.microsoft.com/office/spreadsheetml/2009/9/main" objectType="CheckBox" fmlaLink="Z116" lockText="1" noThreeD="1"/>
</file>

<file path=xl/ctrlProps/ctrlProp11.xml><?xml version="1.0" encoding="utf-8"?>
<formControlPr xmlns="http://schemas.microsoft.com/office/spreadsheetml/2009/9/main" objectType="CheckBox" fmlaLink="Z117" lockText="1" noThreeD="1"/>
</file>

<file path=xl/ctrlProps/ctrlProp12.xml><?xml version="1.0" encoding="utf-8"?>
<formControlPr xmlns="http://schemas.microsoft.com/office/spreadsheetml/2009/9/main" objectType="CheckBox" fmlaLink="Z118" lockText="1" noThreeD="1"/>
</file>

<file path=xl/ctrlProps/ctrlProp13.xml><?xml version="1.0" encoding="utf-8"?>
<formControlPr xmlns="http://schemas.microsoft.com/office/spreadsheetml/2009/9/main" objectType="CheckBox" fmlaLink="Z119" lockText="1" noThreeD="1"/>
</file>

<file path=xl/ctrlProps/ctrlProp14.xml><?xml version="1.0" encoding="utf-8"?>
<formControlPr xmlns="http://schemas.microsoft.com/office/spreadsheetml/2009/9/main" objectType="CheckBox" fmlaLink="Z120" lockText="1" noThreeD="1"/>
</file>

<file path=xl/ctrlProps/ctrlProp15.xml><?xml version="1.0" encoding="utf-8"?>
<formControlPr xmlns="http://schemas.microsoft.com/office/spreadsheetml/2009/9/main" objectType="CheckBox" fmlaLink="Z121" lockText="1" noThreeD="1"/>
</file>

<file path=xl/ctrlProps/ctrlProp16.xml><?xml version="1.0" encoding="utf-8"?>
<formControlPr xmlns="http://schemas.microsoft.com/office/spreadsheetml/2009/9/main" objectType="CheckBox" fmlaLink="Z122" lockText="1" noThreeD="1"/>
</file>

<file path=xl/ctrlProps/ctrlProp17.xml><?xml version="1.0" encoding="utf-8"?>
<formControlPr xmlns="http://schemas.microsoft.com/office/spreadsheetml/2009/9/main" objectType="CheckBox" fmlaLink="Z108" lockText="1" noThreeD="1"/>
</file>

<file path=xl/ctrlProps/ctrlProp18.xml><?xml version="1.0" encoding="utf-8"?>
<formControlPr xmlns="http://schemas.microsoft.com/office/spreadsheetml/2009/9/main" objectType="CheckBox" fmlaLink="Z112" lockText="1" noThreeD="1"/>
</file>

<file path=xl/drawings/_rels/drawing1.xml.rels><?xml version="1.0" encoding="UTF-8" standalone="yes"?>
<Relationships xmlns="http://schemas.openxmlformats.org/package/2006/relationships"><Relationship Id="rId3" Type="http://schemas.openxmlformats.org/officeDocument/2006/relationships/hyperlink" Target="http://statcheck.io/" TargetMode="External"/><Relationship Id="rId2" Type="http://schemas.openxmlformats.org/officeDocument/2006/relationships/hyperlink" Target="https://www.youtube.com/watch?v=PgqtiY7oZ6k&amp;" TargetMode="External"/><Relationship Id="rId1" Type="http://schemas.openxmlformats.org/officeDocument/2006/relationships/hyperlink" Target="https://zenodo.org/record/4312888#.X9eSLthKhPY" TargetMode="Externa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13</xdr:col>
      <xdr:colOff>316705</xdr:colOff>
      <xdr:row>6</xdr:row>
      <xdr:rowOff>209550</xdr:rowOff>
    </xdr:from>
    <xdr:to>
      <xdr:col>15</xdr:col>
      <xdr:colOff>214312</xdr:colOff>
      <xdr:row>6</xdr:row>
      <xdr:rowOff>369093</xdr:rowOff>
    </xdr:to>
    <xdr:sp macro="" textlink="">
      <xdr:nvSpPr>
        <xdr:cNvPr id="57" name="Rectangle 56">
          <a:hlinkClick xmlns:r="http://schemas.openxmlformats.org/officeDocument/2006/relationships" r:id="rId1"/>
          <a:extLst>
            <a:ext uri="{FF2B5EF4-FFF2-40B4-BE49-F238E27FC236}">
              <a16:creationId xmlns:a16="http://schemas.microsoft.com/office/drawing/2014/main" id="{00000000-0008-0000-0000-000039000000}"/>
            </a:ext>
          </a:extLst>
        </xdr:cNvPr>
        <xdr:cNvSpPr/>
      </xdr:nvSpPr>
      <xdr:spPr>
        <a:xfrm>
          <a:off x="8353424" y="2674144"/>
          <a:ext cx="1112044" cy="1595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5</xdr:col>
      <xdr:colOff>664369</xdr:colOff>
      <xdr:row>28</xdr:row>
      <xdr:rowOff>330995</xdr:rowOff>
    </xdr:from>
    <xdr:to>
      <xdr:col>5</xdr:col>
      <xdr:colOff>1864519</xdr:colOff>
      <xdr:row>28</xdr:row>
      <xdr:rowOff>330995</xdr:rowOff>
    </xdr:to>
    <xdr:sp macro="" textlink="">
      <xdr:nvSpPr>
        <xdr:cNvPr id="59" name="Rectangle 58">
          <a:hlinkClick xmlns:r="http://schemas.openxmlformats.org/officeDocument/2006/relationships" r:id="rId2"/>
          <a:extLst>
            <a:ext uri="{FF2B5EF4-FFF2-40B4-BE49-F238E27FC236}">
              <a16:creationId xmlns:a16="http://schemas.microsoft.com/office/drawing/2014/main" id="{00000000-0008-0000-0000-00003B000000}"/>
            </a:ext>
          </a:extLst>
        </xdr:cNvPr>
        <xdr:cNvSpPr/>
      </xdr:nvSpPr>
      <xdr:spPr>
        <a:xfrm>
          <a:off x="5510213" y="13535026"/>
          <a:ext cx="120015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14</xdr:col>
      <xdr:colOff>347662</xdr:colOff>
      <xdr:row>34</xdr:row>
      <xdr:rowOff>385763</xdr:rowOff>
    </xdr:from>
    <xdr:to>
      <xdr:col>15</xdr:col>
      <xdr:colOff>569119</xdr:colOff>
      <xdr:row>34</xdr:row>
      <xdr:rowOff>566738</xdr:rowOff>
    </xdr:to>
    <xdr:sp macro="" textlink="">
      <xdr:nvSpPr>
        <xdr:cNvPr id="61" name="Rectangle 60">
          <a:hlinkClick xmlns:r="http://schemas.openxmlformats.org/officeDocument/2006/relationships" r:id="rId3"/>
          <a:extLst>
            <a:ext uri="{FF2B5EF4-FFF2-40B4-BE49-F238E27FC236}">
              <a16:creationId xmlns:a16="http://schemas.microsoft.com/office/drawing/2014/main" id="{00000000-0008-0000-0000-00003D000000}"/>
            </a:ext>
          </a:extLst>
        </xdr:cNvPr>
        <xdr:cNvSpPr/>
      </xdr:nvSpPr>
      <xdr:spPr>
        <a:xfrm>
          <a:off x="8991600" y="15423357"/>
          <a:ext cx="8286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mc:AlternateContent xmlns:mc="http://schemas.openxmlformats.org/markup-compatibility/2006">
    <mc:Choice xmlns:a14="http://schemas.microsoft.com/office/drawing/2010/main" Requires="a14">
      <xdr:twoCellAnchor editAs="oneCell">
        <xdr:from>
          <xdr:col>7</xdr:col>
          <xdr:colOff>352425</xdr:colOff>
          <xdr:row>3</xdr:row>
          <xdr:rowOff>190500</xdr:rowOff>
        </xdr:from>
        <xdr:to>
          <xdr:col>13</xdr:col>
          <xdr:colOff>180975</xdr:colOff>
          <xdr:row>4</xdr:row>
          <xdr:rowOff>352425</xdr:rowOff>
        </xdr:to>
        <xdr:sp macro="" textlink="">
          <xdr:nvSpPr>
            <xdr:cNvPr id="2132" name="Check Box 1108" hidden="1">
              <a:extLst>
                <a:ext uri="{63B3BB69-23CF-44E3-9099-C40C66FF867C}">
                  <a14:compatExt spid="_x0000_s2132"/>
                </a:ext>
                <a:ext uri="{FF2B5EF4-FFF2-40B4-BE49-F238E27FC236}">
                  <a16:creationId xmlns:a16="http://schemas.microsoft.com/office/drawing/2014/main" id="{00000000-0008-0000-00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6</xdr:row>
          <xdr:rowOff>57150</xdr:rowOff>
        </xdr:from>
        <xdr:to>
          <xdr:col>13</xdr:col>
          <xdr:colOff>180975</xdr:colOff>
          <xdr:row>6</xdr:row>
          <xdr:rowOff>666750</xdr:rowOff>
        </xdr:to>
        <xdr:sp macro="" textlink="">
          <xdr:nvSpPr>
            <xdr:cNvPr id="2134" name="Check Box 1110" hidden="1">
              <a:extLst>
                <a:ext uri="{63B3BB69-23CF-44E3-9099-C40C66FF867C}">
                  <a14:compatExt spid="_x0000_s2134"/>
                </a:ext>
                <a:ext uri="{FF2B5EF4-FFF2-40B4-BE49-F238E27FC236}">
                  <a16:creationId xmlns:a16="http://schemas.microsoft.com/office/drawing/2014/main" id="{00000000-0008-0000-00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10</xdr:row>
          <xdr:rowOff>190500</xdr:rowOff>
        </xdr:from>
        <xdr:to>
          <xdr:col>13</xdr:col>
          <xdr:colOff>152400</xdr:colOff>
          <xdr:row>10</xdr:row>
          <xdr:rowOff>800100</xdr:rowOff>
        </xdr:to>
        <xdr:sp macro="" textlink="">
          <xdr:nvSpPr>
            <xdr:cNvPr id="2135" name="Check Box 1111" hidden="1">
              <a:extLst>
                <a:ext uri="{63B3BB69-23CF-44E3-9099-C40C66FF867C}">
                  <a14:compatExt spid="_x0000_s2135"/>
                </a:ext>
                <a:ext uri="{FF2B5EF4-FFF2-40B4-BE49-F238E27FC236}">
                  <a16:creationId xmlns:a16="http://schemas.microsoft.com/office/drawing/2014/main" id="{00000000-0008-0000-00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12</xdr:row>
          <xdr:rowOff>209550</xdr:rowOff>
        </xdr:from>
        <xdr:to>
          <xdr:col>13</xdr:col>
          <xdr:colOff>171450</xdr:colOff>
          <xdr:row>12</xdr:row>
          <xdr:rowOff>819150</xdr:rowOff>
        </xdr:to>
        <xdr:sp macro="" textlink="">
          <xdr:nvSpPr>
            <xdr:cNvPr id="2136" name="Check Box 1112" hidden="1">
              <a:extLst>
                <a:ext uri="{63B3BB69-23CF-44E3-9099-C40C66FF867C}">
                  <a14:compatExt spid="_x0000_s2136"/>
                </a:ext>
                <a:ext uri="{FF2B5EF4-FFF2-40B4-BE49-F238E27FC236}">
                  <a16:creationId xmlns:a16="http://schemas.microsoft.com/office/drawing/2014/main" id="{00000000-0008-0000-0000-00005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14</xdr:row>
          <xdr:rowOff>190500</xdr:rowOff>
        </xdr:from>
        <xdr:to>
          <xdr:col>13</xdr:col>
          <xdr:colOff>171450</xdr:colOff>
          <xdr:row>15</xdr:row>
          <xdr:rowOff>561975</xdr:rowOff>
        </xdr:to>
        <xdr:sp macro="" textlink="">
          <xdr:nvSpPr>
            <xdr:cNvPr id="2137" name="Check Box 1113" hidden="1">
              <a:extLst>
                <a:ext uri="{63B3BB69-23CF-44E3-9099-C40C66FF867C}">
                  <a14:compatExt spid="_x0000_s2137"/>
                </a:ext>
                <a:ext uri="{FF2B5EF4-FFF2-40B4-BE49-F238E27FC236}">
                  <a16:creationId xmlns:a16="http://schemas.microsoft.com/office/drawing/2014/main" id="{00000000-0008-0000-00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17</xdr:row>
          <xdr:rowOff>200025</xdr:rowOff>
        </xdr:from>
        <xdr:to>
          <xdr:col>13</xdr:col>
          <xdr:colOff>152400</xdr:colOff>
          <xdr:row>19</xdr:row>
          <xdr:rowOff>314325</xdr:rowOff>
        </xdr:to>
        <xdr:sp macro="" textlink="">
          <xdr:nvSpPr>
            <xdr:cNvPr id="2138" name="Check Box 1114" hidden="1">
              <a:extLst>
                <a:ext uri="{63B3BB69-23CF-44E3-9099-C40C66FF867C}">
                  <a14:compatExt spid="_x0000_s2138"/>
                </a:ext>
                <a:ext uri="{FF2B5EF4-FFF2-40B4-BE49-F238E27FC236}">
                  <a16:creationId xmlns:a16="http://schemas.microsoft.com/office/drawing/2014/main" id="{00000000-0008-0000-00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23</xdr:row>
          <xdr:rowOff>238125</xdr:rowOff>
        </xdr:from>
        <xdr:to>
          <xdr:col>13</xdr:col>
          <xdr:colOff>123825</xdr:colOff>
          <xdr:row>24</xdr:row>
          <xdr:rowOff>600075</xdr:rowOff>
        </xdr:to>
        <xdr:sp macro="" textlink="">
          <xdr:nvSpPr>
            <xdr:cNvPr id="2139" name="Check Box 1115" hidden="1">
              <a:extLst>
                <a:ext uri="{63B3BB69-23CF-44E3-9099-C40C66FF867C}">
                  <a14:compatExt spid="_x0000_s2139"/>
                </a:ext>
                <a:ext uri="{FF2B5EF4-FFF2-40B4-BE49-F238E27FC236}">
                  <a16:creationId xmlns:a16="http://schemas.microsoft.com/office/drawing/2014/main" id="{00000000-0008-0000-0000-00005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26</xdr:row>
          <xdr:rowOff>57150</xdr:rowOff>
        </xdr:from>
        <xdr:to>
          <xdr:col>13</xdr:col>
          <xdr:colOff>171450</xdr:colOff>
          <xdr:row>26</xdr:row>
          <xdr:rowOff>666750</xdr:rowOff>
        </xdr:to>
        <xdr:sp macro="" textlink="">
          <xdr:nvSpPr>
            <xdr:cNvPr id="2140" name="Check Box 1116" hidden="1">
              <a:extLst>
                <a:ext uri="{63B3BB69-23CF-44E3-9099-C40C66FF867C}">
                  <a14:compatExt spid="_x0000_s2140"/>
                </a:ext>
                <a:ext uri="{FF2B5EF4-FFF2-40B4-BE49-F238E27FC236}">
                  <a16:creationId xmlns:a16="http://schemas.microsoft.com/office/drawing/2014/main" id="{00000000-0008-0000-00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209550</xdr:rowOff>
        </xdr:from>
        <xdr:to>
          <xdr:col>13</xdr:col>
          <xdr:colOff>152400</xdr:colOff>
          <xdr:row>27</xdr:row>
          <xdr:rowOff>819150</xdr:rowOff>
        </xdr:to>
        <xdr:sp macro="" textlink="">
          <xdr:nvSpPr>
            <xdr:cNvPr id="2141" name="Check Box 1117" hidden="1">
              <a:extLst>
                <a:ext uri="{63B3BB69-23CF-44E3-9099-C40C66FF867C}">
                  <a14:compatExt spid="_x0000_s2141"/>
                </a:ext>
                <a:ext uri="{FF2B5EF4-FFF2-40B4-BE49-F238E27FC236}">
                  <a16:creationId xmlns:a16="http://schemas.microsoft.com/office/drawing/2014/main" id="{00000000-0008-0000-00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32</xdr:row>
          <xdr:rowOff>114300</xdr:rowOff>
        </xdr:from>
        <xdr:to>
          <xdr:col>13</xdr:col>
          <xdr:colOff>152400</xdr:colOff>
          <xdr:row>32</xdr:row>
          <xdr:rowOff>723900</xdr:rowOff>
        </xdr:to>
        <xdr:sp macro="" textlink="">
          <xdr:nvSpPr>
            <xdr:cNvPr id="2142" name="Check Box 1118" hidden="1">
              <a:extLst>
                <a:ext uri="{63B3BB69-23CF-44E3-9099-C40C66FF867C}">
                  <a14:compatExt spid="_x0000_s2142"/>
                </a:ext>
                <a:ext uri="{FF2B5EF4-FFF2-40B4-BE49-F238E27FC236}">
                  <a16:creationId xmlns:a16="http://schemas.microsoft.com/office/drawing/2014/main" id="{00000000-0008-0000-0000-00005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285750</xdr:rowOff>
        </xdr:from>
        <xdr:to>
          <xdr:col>13</xdr:col>
          <xdr:colOff>171450</xdr:colOff>
          <xdr:row>34</xdr:row>
          <xdr:rowOff>561975</xdr:rowOff>
        </xdr:to>
        <xdr:sp macro="" textlink="">
          <xdr:nvSpPr>
            <xdr:cNvPr id="2143" name="Check Box 1119" hidden="1">
              <a:extLst>
                <a:ext uri="{63B3BB69-23CF-44E3-9099-C40C66FF867C}">
                  <a14:compatExt spid="_x0000_s2143"/>
                </a:ext>
                <a:ext uri="{FF2B5EF4-FFF2-40B4-BE49-F238E27FC236}">
                  <a16:creationId xmlns:a16="http://schemas.microsoft.com/office/drawing/2014/main" id="{00000000-0008-0000-00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36</xdr:row>
          <xdr:rowOff>57150</xdr:rowOff>
        </xdr:from>
        <xdr:to>
          <xdr:col>13</xdr:col>
          <xdr:colOff>171450</xdr:colOff>
          <xdr:row>36</xdr:row>
          <xdr:rowOff>666750</xdr:rowOff>
        </xdr:to>
        <xdr:sp macro="" textlink="">
          <xdr:nvSpPr>
            <xdr:cNvPr id="2144" name="Check Box 1120" hidden="1">
              <a:extLst>
                <a:ext uri="{63B3BB69-23CF-44E3-9099-C40C66FF867C}">
                  <a14:compatExt spid="_x0000_s2144"/>
                </a:ext>
                <a:ext uri="{FF2B5EF4-FFF2-40B4-BE49-F238E27FC236}">
                  <a16:creationId xmlns:a16="http://schemas.microsoft.com/office/drawing/2014/main" id="{00000000-0008-0000-00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37</xdr:row>
          <xdr:rowOff>142875</xdr:rowOff>
        </xdr:from>
        <xdr:to>
          <xdr:col>13</xdr:col>
          <xdr:colOff>161925</xdr:colOff>
          <xdr:row>37</xdr:row>
          <xdr:rowOff>752475</xdr:rowOff>
        </xdr:to>
        <xdr:sp macro="" textlink="">
          <xdr:nvSpPr>
            <xdr:cNvPr id="2145" name="Check Box 1121" hidden="1">
              <a:extLst>
                <a:ext uri="{63B3BB69-23CF-44E3-9099-C40C66FF867C}">
                  <a14:compatExt spid="_x0000_s2145"/>
                </a:ext>
                <a:ext uri="{FF2B5EF4-FFF2-40B4-BE49-F238E27FC236}">
                  <a16:creationId xmlns:a16="http://schemas.microsoft.com/office/drawing/2014/main" id="{00000000-0008-0000-0000-00006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38</xdr:row>
          <xdr:rowOff>95250</xdr:rowOff>
        </xdr:from>
        <xdr:to>
          <xdr:col>13</xdr:col>
          <xdr:colOff>142875</xdr:colOff>
          <xdr:row>38</xdr:row>
          <xdr:rowOff>704850</xdr:rowOff>
        </xdr:to>
        <xdr:sp macro="" textlink="">
          <xdr:nvSpPr>
            <xdr:cNvPr id="2146" name="Check Box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39</xdr:row>
          <xdr:rowOff>161925</xdr:rowOff>
        </xdr:from>
        <xdr:to>
          <xdr:col>13</xdr:col>
          <xdr:colOff>123825</xdr:colOff>
          <xdr:row>39</xdr:row>
          <xdr:rowOff>771525</xdr:rowOff>
        </xdr:to>
        <xdr:sp macro="" textlink="">
          <xdr:nvSpPr>
            <xdr:cNvPr id="2147" name="Check Box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40</xdr:row>
          <xdr:rowOff>352425</xdr:rowOff>
        </xdr:from>
        <xdr:to>
          <xdr:col>13</xdr:col>
          <xdr:colOff>114300</xdr:colOff>
          <xdr:row>41</xdr:row>
          <xdr:rowOff>504825</xdr:rowOff>
        </xdr:to>
        <xdr:sp macro="" textlink="">
          <xdr:nvSpPr>
            <xdr:cNvPr id="2148" name="Check Box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428194</xdr:colOff>
      <xdr:row>0</xdr:row>
      <xdr:rowOff>106797</xdr:rowOff>
    </xdr:from>
    <xdr:to>
      <xdr:col>0</xdr:col>
      <xdr:colOff>1508487</xdr:colOff>
      <xdr:row>0</xdr:row>
      <xdr:rowOff>1190265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8194" y="106797"/>
          <a:ext cx="1080293" cy="108346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323850</xdr:colOff>
          <xdr:row>11</xdr:row>
          <xdr:rowOff>571500</xdr:rowOff>
        </xdr:from>
        <xdr:to>
          <xdr:col>13</xdr:col>
          <xdr:colOff>142875</xdr:colOff>
          <xdr:row>11</xdr:row>
          <xdr:rowOff>1181100</xdr:rowOff>
        </xdr:to>
        <xdr:sp macro="" textlink="">
          <xdr:nvSpPr>
            <xdr:cNvPr id="2150" name="Check Box 1126" hidden="1">
              <a:extLst>
                <a:ext uri="{63B3BB69-23CF-44E3-9099-C40C66FF867C}">
                  <a14:compatExt spid="_x0000_s2150"/>
                </a:ext>
                <a:ext uri="{FF2B5EF4-FFF2-40B4-BE49-F238E27FC236}">
                  <a16:creationId xmlns:a16="http://schemas.microsoft.com/office/drawing/2014/main" id="{00000000-0008-0000-00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21</xdr:row>
          <xdr:rowOff>200025</xdr:rowOff>
        </xdr:from>
        <xdr:to>
          <xdr:col>13</xdr:col>
          <xdr:colOff>152400</xdr:colOff>
          <xdr:row>21</xdr:row>
          <xdr:rowOff>809625</xdr:rowOff>
        </xdr:to>
        <xdr:sp macro="" textlink="">
          <xdr:nvSpPr>
            <xdr:cNvPr id="2151" name="Check Box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bin"/><Relationship Id="rId18" Type="http://schemas.openxmlformats.org/officeDocument/2006/relationships/ctrlProp" Target="../ctrlProps/ctrlProp3.xml"/><Relationship Id="rId26" Type="http://schemas.openxmlformats.org/officeDocument/2006/relationships/ctrlProp" Target="../ctrlProps/ctrlProp11.xml"/><Relationship Id="rId3" Type="http://schemas.openxmlformats.org/officeDocument/2006/relationships/hyperlink" Target="https://eur-synclab.github.io/data-management/data-security.html" TargetMode="External"/><Relationship Id="rId21" Type="http://schemas.openxmlformats.org/officeDocument/2006/relationships/ctrlProp" Target="../ctrlProps/ctrlProp6.xml"/><Relationship Id="rId7" Type="http://schemas.openxmlformats.org/officeDocument/2006/relationships/hyperlink" Target="https://eur-synclab.github.io/open-science/open-access-info.html" TargetMode="External"/><Relationship Id="rId12" Type="http://schemas.openxmlformats.org/officeDocument/2006/relationships/hyperlink" Target="https://github.com/eur-synclab/publication-package" TargetMode="Externa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2" Type="http://schemas.openxmlformats.org/officeDocument/2006/relationships/hyperlink" Target="https://eur-synclab.github.io/data-management/dmp-dpia-info.html" TargetMode="External"/><Relationship Id="rId16" Type="http://schemas.openxmlformats.org/officeDocument/2006/relationships/ctrlProp" Target="../ctrlProps/ctrlProp1.xml"/><Relationship Id="rId20" Type="http://schemas.openxmlformats.org/officeDocument/2006/relationships/ctrlProp" Target="../ctrlProps/ctrlProp5.xml"/><Relationship Id="rId29" Type="http://schemas.openxmlformats.org/officeDocument/2006/relationships/ctrlProp" Target="../ctrlProps/ctrlProp14.xml"/><Relationship Id="rId1" Type="http://schemas.openxmlformats.org/officeDocument/2006/relationships/hyperlink" Target="https://eur-synclab.github.io/open-science/preregistration.html" TargetMode="External"/><Relationship Id="rId6" Type="http://schemas.openxmlformats.org/officeDocument/2006/relationships/hyperlink" Target="https://eur-synclab.github.io/data-management/vc-principles.html" TargetMode="External"/><Relationship Id="rId11" Type="http://schemas.openxmlformats.org/officeDocument/2006/relationships/hyperlink" Target="https://www.linkedin.com/" TargetMode="External"/><Relationship Id="rId24" Type="http://schemas.openxmlformats.org/officeDocument/2006/relationships/ctrlProp" Target="../ctrlProps/ctrlProp9.xml"/><Relationship Id="rId32" Type="http://schemas.openxmlformats.org/officeDocument/2006/relationships/ctrlProp" Target="../ctrlProps/ctrlProp17.xml"/><Relationship Id="rId5" Type="http://schemas.openxmlformats.org/officeDocument/2006/relationships/hyperlink" Target="https://eur-synclab.github.io/open-science/open-code.html" TargetMode="External"/><Relationship Id="rId15" Type="http://schemas.openxmlformats.org/officeDocument/2006/relationships/vmlDrawing" Target="../drawings/vmlDrawing1.vml"/><Relationship Id="rId23" Type="http://schemas.openxmlformats.org/officeDocument/2006/relationships/ctrlProp" Target="../ctrlProps/ctrlProp8.xml"/><Relationship Id="rId28" Type="http://schemas.openxmlformats.org/officeDocument/2006/relationships/ctrlProp" Target="../ctrlProps/ctrlProp13.xml"/><Relationship Id="rId10" Type="http://schemas.openxmlformats.org/officeDocument/2006/relationships/hyperlink" Target="https://www.twitter.com/" TargetMode="External"/><Relationship Id="rId19" Type="http://schemas.openxmlformats.org/officeDocument/2006/relationships/ctrlProp" Target="../ctrlProps/ctrlProp4.xml"/><Relationship Id="rId31" Type="http://schemas.openxmlformats.org/officeDocument/2006/relationships/ctrlProp" Target="../ctrlProps/ctrlProp16.xml"/><Relationship Id="rId4" Type="http://schemas.openxmlformats.org/officeDocument/2006/relationships/hyperlink" Target="https://eur-synclab.github.io/data-management/data-security.html" TargetMode="External"/><Relationship Id="rId9" Type="http://schemas.openxmlformats.org/officeDocument/2006/relationships/hyperlink" Target="https://erasmus-synclab.nl/publications/scientific-publications/" TargetMode="External"/><Relationship Id="rId14" Type="http://schemas.openxmlformats.org/officeDocument/2006/relationships/drawing" Target="../drawings/drawing1.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8" Type="http://schemas.openxmlformats.org/officeDocument/2006/relationships/hyperlink" Target="https://neurovault.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22"/>
  <sheetViews>
    <sheetView tabSelected="1" zoomScale="70" zoomScaleNormal="70" workbookViewId="0">
      <pane ySplit="1" topLeftCell="A2" activePane="bottomLeft" state="frozen"/>
      <selection pane="bottomLeft" activeCell="C12" sqref="C12"/>
    </sheetView>
  </sheetViews>
  <sheetFormatPr defaultColWidth="9.140625" defaultRowHeight="26.25" x14ac:dyDescent="0.2"/>
  <cols>
    <col min="1" max="1" width="31.42578125" style="1" customWidth="1"/>
    <col min="2" max="2" width="3.7109375" style="1" customWidth="1"/>
    <col min="3" max="3" width="30.7109375" style="1" customWidth="1"/>
    <col min="4" max="5" width="3.7109375" style="1" customWidth="1"/>
    <col min="6" max="6" width="34" style="92" bestFit="1" customWidth="1"/>
    <col min="7" max="7" width="3.7109375" style="1" customWidth="1"/>
    <col min="8" max="8" width="13.42578125" style="20" bestFit="1" customWidth="1"/>
    <col min="9" max="9" width="10.7109375" style="14" hidden="1" customWidth="1"/>
    <col min="10" max="13" width="15.7109375" style="7" hidden="1" customWidth="1"/>
    <col min="14" max="18" width="9.140625" style="1"/>
    <col min="19" max="19" width="10" style="1" bestFit="1" customWidth="1"/>
    <col min="20" max="20" width="20.28515625" style="1" customWidth="1"/>
    <col min="21" max="16384" width="9.140625" style="1"/>
  </cols>
  <sheetData>
    <row r="1" spans="1:20" ht="102" customHeight="1" thickBot="1" x14ac:dyDescent="0.25">
      <c r="A1" s="33"/>
      <c r="B1" s="144" t="s">
        <v>20</v>
      </c>
      <c r="C1" s="145"/>
      <c r="D1" s="146"/>
      <c r="E1" s="147" t="s">
        <v>21</v>
      </c>
      <c r="F1" s="145"/>
      <c r="G1" s="146"/>
      <c r="H1" s="34" t="s">
        <v>19</v>
      </c>
      <c r="I1" s="10"/>
    </row>
    <row r="2" spans="1:20" ht="30" customHeight="1" thickBot="1" x14ac:dyDescent="0.25">
      <c r="A2" s="152" t="s">
        <v>48</v>
      </c>
      <c r="B2" s="153"/>
      <c r="C2" s="153"/>
      <c r="D2" s="153"/>
      <c r="E2" s="153"/>
      <c r="F2" s="153"/>
      <c r="G2" s="153"/>
      <c r="H2" s="154"/>
      <c r="I2" s="19" t="s">
        <v>18</v>
      </c>
      <c r="J2" s="11" t="s">
        <v>14</v>
      </c>
      <c r="K2" s="11" t="s">
        <v>15</v>
      </c>
      <c r="L2" s="11" t="s">
        <v>16</v>
      </c>
      <c r="M2" s="11" t="s">
        <v>17</v>
      </c>
    </row>
    <row r="3" spans="1:20" s="2" customFormat="1" ht="20.100000000000001" customHeight="1" x14ac:dyDescent="0.35">
      <c r="A3" s="121" t="s">
        <v>22</v>
      </c>
      <c r="B3" s="37"/>
      <c r="C3" s="123" t="s">
        <v>38</v>
      </c>
      <c r="D3" s="38"/>
      <c r="E3" s="136" t="str">
        <f>HYPERLINK("https://eur-synclab.github.io/open-science/preregistration.html", "SYNC lab wiki - PreReg")</f>
        <v>SYNC lab wiki - PreReg</v>
      </c>
      <c r="F3" s="137"/>
      <c r="G3" s="138"/>
      <c r="H3" s="29"/>
      <c r="I3" s="11"/>
      <c r="J3" s="15" t="b">
        <v>0</v>
      </c>
      <c r="K3" s="15" t="b">
        <v>0</v>
      </c>
      <c r="L3" s="15" t="b">
        <v>0</v>
      </c>
      <c r="M3" s="8" t="b">
        <v>0</v>
      </c>
    </row>
    <row r="4" spans="1:20" s="2" customFormat="1" ht="35.25" customHeight="1" x14ac:dyDescent="0.35">
      <c r="A4" s="118"/>
      <c r="B4" s="44"/>
      <c r="C4" s="119"/>
      <c r="D4" s="74"/>
      <c r="E4" s="139"/>
      <c r="F4" s="140"/>
      <c r="G4" s="141"/>
      <c r="H4" s="31"/>
      <c r="I4" s="11"/>
      <c r="J4" s="15"/>
      <c r="K4" s="15"/>
      <c r="L4" s="15"/>
      <c r="M4" s="8"/>
    </row>
    <row r="5" spans="1:20" s="3" customFormat="1" ht="60.75" customHeight="1" thickBot="1" x14ac:dyDescent="0.35">
      <c r="A5" s="122"/>
      <c r="B5" s="41"/>
      <c r="C5" s="124"/>
      <c r="D5" s="42"/>
      <c r="E5" s="76"/>
      <c r="F5" s="93" t="str">
        <f>HYPERLINK("https://osf.io/5hbsm/", "SYNC OSF hub")</f>
        <v>SYNC OSF hub</v>
      </c>
      <c r="G5" s="65"/>
      <c r="H5" s="32"/>
      <c r="I5" s="19">
        <f>IF(M3 = TRUE,0,IF(L3=TRUE,3,(IF(K3=TRUE,2,IF(J3=TRUE,1,0)))))</f>
        <v>0</v>
      </c>
      <c r="J5" s="8"/>
      <c r="K5" s="8"/>
      <c r="L5" s="8"/>
      <c r="M5" s="8"/>
    </row>
    <row r="6" spans="1:20" s="4" customFormat="1" ht="20.100000000000001" customHeight="1" thickTop="1" x14ac:dyDescent="0.35">
      <c r="A6" s="121" t="s">
        <v>39</v>
      </c>
      <c r="B6" s="37"/>
      <c r="C6" s="123" t="s">
        <v>47</v>
      </c>
      <c r="D6" s="40"/>
      <c r="E6" s="62"/>
      <c r="F6" s="137" t="str">
        <f>HYPERLINK("https://eur-synclab.github.io/data-management/dmp-dpia-info.html", "SYNC lab wiki - DMP")</f>
        <v>SYNC lab wiki - DMP</v>
      </c>
      <c r="G6" s="79"/>
      <c r="H6" s="81"/>
      <c r="I6" s="19"/>
      <c r="J6" s="16" t="b">
        <v>0</v>
      </c>
      <c r="K6" s="16" t="b">
        <v>0</v>
      </c>
      <c r="L6" s="16" t="b">
        <v>0</v>
      </c>
      <c r="M6" s="16"/>
    </row>
    <row r="7" spans="1:20" s="3" customFormat="1" ht="75" customHeight="1" thickBot="1" x14ac:dyDescent="0.35">
      <c r="A7" s="122"/>
      <c r="B7" s="41"/>
      <c r="C7" s="124"/>
      <c r="D7" s="42"/>
      <c r="E7" s="64"/>
      <c r="F7" s="155"/>
      <c r="G7" s="80"/>
      <c r="H7" s="82"/>
      <c r="I7" s="19">
        <f>IF(L6=TRUE,3,(IF(K6=TRUE,2,IF(J6=TRUE,1,0))))</f>
        <v>0</v>
      </c>
      <c r="J7" s="8"/>
      <c r="K7" s="8"/>
      <c r="L7" s="8"/>
      <c r="M7" s="8"/>
    </row>
    <row r="8" spans="1:20" s="6" customFormat="1" ht="50.1" hidden="1" customHeight="1" thickBot="1" x14ac:dyDescent="0.25">
      <c r="A8" s="22"/>
      <c r="B8" s="148" t="s">
        <v>0</v>
      </c>
      <c r="C8" s="149"/>
      <c r="D8" s="150"/>
      <c r="E8" s="148" t="s">
        <v>1</v>
      </c>
      <c r="F8" s="149"/>
      <c r="G8" s="150"/>
      <c r="H8" s="23" t="s">
        <v>2</v>
      </c>
      <c r="I8" s="12"/>
      <c r="J8" s="17"/>
      <c r="K8" s="17"/>
      <c r="L8" s="17"/>
      <c r="M8" s="17"/>
    </row>
    <row r="9" spans="1:20" ht="27" thickBot="1" x14ac:dyDescent="0.25">
      <c r="A9" s="152" t="s">
        <v>23</v>
      </c>
      <c r="B9" s="153"/>
      <c r="C9" s="153"/>
      <c r="D9" s="153"/>
      <c r="E9" s="153"/>
      <c r="F9" s="153"/>
      <c r="G9" s="153"/>
      <c r="H9" s="154"/>
      <c r="I9" s="21"/>
      <c r="J9" s="18"/>
      <c r="K9" s="18"/>
      <c r="L9" s="18"/>
      <c r="M9" s="18"/>
    </row>
    <row r="10" spans="1:20" s="4" customFormat="1" ht="20.100000000000001" customHeight="1" x14ac:dyDescent="0.35">
      <c r="A10" s="121" t="s">
        <v>24</v>
      </c>
      <c r="B10" s="37"/>
      <c r="C10" s="123" t="s">
        <v>58</v>
      </c>
      <c r="D10" s="40"/>
      <c r="E10" s="62"/>
      <c r="F10" s="137" t="str">
        <f>HYPERLINK("https://eur.data.surfsara.nl/index.php/apps/files/?dir=/&amp;view=sharingin", "Researchdrive")</f>
        <v>Researchdrive</v>
      </c>
      <c r="G10" s="72"/>
      <c r="H10" s="29"/>
      <c r="I10" s="19"/>
      <c r="J10" s="16" t="b">
        <v>0</v>
      </c>
      <c r="K10" s="16" t="b">
        <v>0</v>
      </c>
      <c r="L10" s="16" t="b">
        <v>0</v>
      </c>
      <c r="M10" s="16" t="b">
        <v>0</v>
      </c>
      <c r="T10" s="88"/>
    </row>
    <row r="11" spans="1:20" s="3" customFormat="1" ht="101.25" customHeight="1" thickBot="1" x14ac:dyDescent="0.35">
      <c r="A11" s="122"/>
      <c r="B11" s="41"/>
      <c r="C11" s="124"/>
      <c r="D11" s="42"/>
      <c r="E11" s="64"/>
      <c r="F11" s="155"/>
      <c r="G11" s="65"/>
      <c r="H11" s="28"/>
      <c r="I11" s="19">
        <f>IF(M10 = TRUE,0,IF(L10=TRUE,3,(IF(K10=TRUE,2,IF(J10=TRUE,1,0)))))</f>
        <v>0</v>
      </c>
      <c r="J11" s="8"/>
      <c r="K11" s="8"/>
      <c r="L11" s="8"/>
      <c r="M11" s="8"/>
    </row>
    <row r="12" spans="1:20" s="3" customFormat="1" ht="143.25" thickBot="1" x14ac:dyDescent="0.35">
      <c r="A12" s="57" t="s">
        <v>51</v>
      </c>
      <c r="B12" s="66"/>
      <c r="C12" s="58" t="s">
        <v>59</v>
      </c>
      <c r="D12" s="59"/>
      <c r="E12" s="60"/>
      <c r="F12" s="89" t="str">
        <f>HYPERLINK("https://eur-synclab.github.io/data-management/codebooks.html", "SYNC lab wiki - Codebook")</f>
        <v>SYNC lab wiki - Codebook</v>
      </c>
      <c r="G12" s="61"/>
      <c r="H12" s="30"/>
      <c r="I12" s="78"/>
      <c r="J12" s="8"/>
      <c r="K12" s="8"/>
      <c r="L12" s="8"/>
      <c r="M12" s="8"/>
    </row>
    <row r="13" spans="1:20" s="3" customFormat="1" ht="75" customHeight="1" thickBot="1" x14ac:dyDescent="0.35">
      <c r="A13" s="73" t="s">
        <v>25</v>
      </c>
      <c r="B13" s="66"/>
      <c r="C13" s="58" t="s">
        <v>60</v>
      </c>
      <c r="D13" s="59"/>
      <c r="E13" s="60"/>
      <c r="F13" s="89" t="str">
        <f>HYPERLINK("https://eur-synclab.github.io/data-management/data-security.html", "SYNC lab wiki - Logbook")</f>
        <v>SYNC lab wiki - Logbook</v>
      </c>
      <c r="G13" s="67"/>
      <c r="H13" s="83"/>
      <c r="I13" s="19"/>
      <c r="J13" s="8"/>
      <c r="K13" s="8"/>
      <c r="L13" s="8"/>
      <c r="M13" s="8"/>
    </row>
    <row r="14" spans="1:20" s="2" customFormat="1" ht="22.5" customHeight="1" thickTop="1" x14ac:dyDescent="0.35">
      <c r="A14" s="142" t="s">
        <v>26</v>
      </c>
      <c r="B14" s="44"/>
      <c r="C14" s="123" t="s">
        <v>40</v>
      </c>
      <c r="D14" s="74"/>
      <c r="E14" s="52"/>
      <c r="F14" s="137" t="str">
        <f>HYPERLINK("https://eur-synclab.github.io/data-management/data-security.html", "SYNC lab wiki - Data Storage")</f>
        <v>SYNC lab wiki - Data Storage</v>
      </c>
      <c r="G14" s="75"/>
      <c r="H14" s="81"/>
      <c r="I14" s="151">
        <f>IF(L14=TRUE,3,(IF(K14=TRUE,2,IF(J14=TRUE,1,0))))</f>
        <v>0</v>
      </c>
      <c r="J14" s="8" t="b">
        <v>0</v>
      </c>
      <c r="K14" s="8" t="b">
        <v>0</v>
      </c>
      <c r="L14" s="8" t="b">
        <v>0</v>
      </c>
      <c r="M14" s="8"/>
    </row>
    <row r="15" spans="1:20" s="2" customFormat="1" ht="20.100000000000001" customHeight="1" x14ac:dyDescent="0.35">
      <c r="A15" s="118"/>
      <c r="B15" s="44"/>
      <c r="C15" s="119"/>
      <c r="D15" s="74"/>
      <c r="E15" s="52"/>
      <c r="F15" s="140"/>
      <c r="G15" s="75"/>
      <c r="H15" s="94"/>
      <c r="I15" s="151"/>
      <c r="J15" s="8"/>
      <c r="K15" s="8"/>
      <c r="L15" s="8"/>
      <c r="M15" s="8"/>
    </row>
    <row r="16" spans="1:20" s="3" customFormat="1" ht="75" customHeight="1" thickBot="1" x14ac:dyDescent="0.35">
      <c r="A16" s="118"/>
      <c r="B16" s="44"/>
      <c r="C16" s="119"/>
      <c r="D16" s="54"/>
      <c r="E16" s="55"/>
      <c r="F16" s="140"/>
      <c r="G16" s="98"/>
      <c r="H16" s="82"/>
      <c r="I16" s="151"/>
      <c r="J16" s="8"/>
      <c r="K16" s="8"/>
      <c r="L16" s="8"/>
      <c r="M16" s="8"/>
    </row>
    <row r="17" spans="1:13" s="2" customFormat="1" ht="20.100000000000001" customHeight="1" thickTop="1" x14ac:dyDescent="0.35">
      <c r="A17" s="128" t="s">
        <v>54</v>
      </c>
      <c r="B17" s="73"/>
      <c r="C17" s="123" t="s">
        <v>61</v>
      </c>
      <c r="D17" s="40"/>
      <c r="E17" s="62"/>
      <c r="F17" s="137" t="str">
        <f>HYPERLINK("https://eur-synclab.github.io/open-science/open-code.html", "SYNC lab wiki - Scripts")</f>
        <v>SYNC lab wiki - Scripts</v>
      </c>
      <c r="G17" s="63"/>
      <c r="H17" s="31"/>
      <c r="I17" s="19"/>
      <c r="J17" s="8" t="b">
        <v>0</v>
      </c>
      <c r="K17" s="8" t="b">
        <v>0</v>
      </c>
      <c r="L17" s="8" t="b">
        <v>0</v>
      </c>
      <c r="M17" s="8"/>
    </row>
    <row r="18" spans="1:13" s="2" customFormat="1" ht="20.100000000000001" customHeight="1" x14ac:dyDescent="0.35">
      <c r="A18" s="129"/>
      <c r="B18" s="100"/>
      <c r="C18" s="119"/>
      <c r="D18" s="45"/>
      <c r="E18" s="52"/>
      <c r="F18" s="126"/>
      <c r="G18" s="68"/>
      <c r="H18" s="31"/>
      <c r="I18" s="19"/>
      <c r="J18" s="8"/>
      <c r="K18" s="8"/>
      <c r="L18" s="8"/>
      <c r="M18" s="8"/>
    </row>
    <row r="19" spans="1:13" s="2" customFormat="1" ht="20.100000000000001" customHeight="1" x14ac:dyDescent="0.35">
      <c r="A19" s="129"/>
      <c r="B19" s="100"/>
      <c r="C19" s="119"/>
      <c r="D19" s="45"/>
      <c r="E19" s="52"/>
      <c r="F19" s="126"/>
      <c r="G19" s="68"/>
      <c r="H19" s="31"/>
      <c r="I19" s="19"/>
      <c r="J19" s="8"/>
      <c r="K19" s="8"/>
      <c r="L19" s="8"/>
      <c r="M19" s="8"/>
    </row>
    <row r="20" spans="1:13" s="3" customFormat="1" ht="75" customHeight="1" thickBot="1" x14ac:dyDescent="0.35">
      <c r="A20" s="156"/>
      <c r="B20" s="43"/>
      <c r="C20" s="124"/>
      <c r="D20" s="42"/>
      <c r="E20" s="64"/>
      <c r="F20" s="155"/>
      <c r="G20" s="99"/>
      <c r="H20" s="32"/>
      <c r="I20" s="19">
        <f>IF(L17=TRUE,3,(IF(K17=TRUE,2,IF(J17=TRUE,1,0))))</f>
        <v>0</v>
      </c>
      <c r="J20" s="8"/>
      <c r="K20" s="8"/>
      <c r="L20" s="8"/>
      <c r="M20" s="8"/>
    </row>
    <row r="21" spans="1:13" ht="50.1" hidden="1" customHeight="1" thickBot="1" x14ac:dyDescent="0.25">
      <c r="A21" s="101"/>
      <c r="B21" s="148" t="s">
        <v>0</v>
      </c>
      <c r="C21" s="149"/>
      <c r="D21" s="150"/>
      <c r="E21" s="148" t="s">
        <v>1</v>
      </c>
      <c r="F21" s="149"/>
      <c r="G21" s="150"/>
      <c r="H21" s="24" t="s">
        <v>2</v>
      </c>
      <c r="I21" s="10"/>
      <c r="J21" s="18"/>
      <c r="K21" s="18"/>
      <c r="L21" s="18"/>
      <c r="M21" s="18"/>
    </row>
    <row r="22" spans="1:13" ht="76.5" customHeight="1" thickBot="1" x14ac:dyDescent="0.25">
      <c r="A22" s="102" t="s">
        <v>53</v>
      </c>
      <c r="B22" s="95"/>
      <c r="C22" s="103" t="s">
        <v>64</v>
      </c>
      <c r="D22" s="96"/>
      <c r="E22" s="95"/>
      <c r="F22" s="89" t="str">
        <f>HYPERLINK("https://eur-synclab.github.io/data-management/types-metadata.html#example-research-metadata", "SYNC lab wiki - Readme")</f>
        <v>SYNC lab wiki - Readme</v>
      </c>
      <c r="G22" s="96"/>
      <c r="H22" s="97"/>
      <c r="I22" s="10"/>
      <c r="J22" s="18"/>
      <c r="K22" s="18"/>
      <c r="L22" s="18"/>
      <c r="M22" s="18"/>
    </row>
    <row r="23" spans="1:13" ht="30" customHeight="1" thickBot="1" x14ac:dyDescent="0.25">
      <c r="A23" s="161" t="s">
        <v>27</v>
      </c>
      <c r="B23" s="162"/>
      <c r="C23" s="162"/>
      <c r="D23" s="162"/>
      <c r="E23" s="162"/>
      <c r="F23" s="162"/>
      <c r="G23" s="162"/>
      <c r="H23" s="163"/>
      <c r="I23" s="21"/>
      <c r="J23" s="18"/>
      <c r="K23" s="18"/>
      <c r="L23" s="18"/>
      <c r="M23" s="18"/>
    </row>
    <row r="24" spans="1:13" s="2" customFormat="1" ht="20.100000000000001" customHeight="1" thickTop="1" x14ac:dyDescent="0.35">
      <c r="A24" s="118" t="s">
        <v>28</v>
      </c>
      <c r="B24" s="44"/>
      <c r="C24" s="119" t="s">
        <v>42</v>
      </c>
      <c r="D24" s="45"/>
      <c r="E24" s="52"/>
      <c r="F24" s="140" t="str">
        <f>HYPERLINK("https://eur-synclab.github.io/data-management/vc-principles.html", "SYNC lab wiki - Version Control")</f>
        <v>SYNC lab wiki - Version Control</v>
      </c>
      <c r="G24" s="68"/>
      <c r="H24" s="31"/>
      <c r="I24" s="19"/>
      <c r="J24" s="8" t="b">
        <v>0</v>
      </c>
      <c r="K24" s="8" t="b">
        <v>0</v>
      </c>
      <c r="L24" s="8" t="b">
        <v>0</v>
      </c>
      <c r="M24" s="8" t="b">
        <v>0</v>
      </c>
    </row>
    <row r="25" spans="1:13" s="3" customFormat="1" ht="75" customHeight="1" thickBot="1" x14ac:dyDescent="0.35">
      <c r="A25" s="157"/>
      <c r="B25" s="48"/>
      <c r="C25" s="120"/>
      <c r="D25" s="42"/>
      <c r="E25" s="64"/>
      <c r="F25" s="143"/>
      <c r="G25" s="69"/>
      <c r="H25" s="28"/>
      <c r="I25" s="19">
        <f>IF(M24 = TRUE,0,IF(L24=TRUE,3,(IF(K24=TRUE,2,IF(J24=TRUE,1,0)))))</f>
        <v>0</v>
      </c>
      <c r="J25" s="8"/>
      <c r="K25" s="8"/>
      <c r="L25" s="8"/>
      <c r="M25" s="8"/>
    </row>
    <row r="26" spans="1:13" s="2" customFormat="1" ht="20.100000000000001" customHeight="1" x14ac:dyDescent="0.35">
      <c r="A26" s="142" t="s">
        <v>29</v>
      </c>
      <c r="B26" s="44"/>
      <c r="C26" s="127" t="s">
        <v>62</v>
      </c>
      <c r="D26" s="51"/>
      <c r="E26" s="52"/>
      <c r="F26" s="125" t="str">
        <f>HYPERLINK("https://eur-synclab.github.io/open-science/open-access-info.html", "SYNC lab wiki - Preprint")</f>
        <v>SYNC lab wiki - Preprint</v>
      </c>
      <c r="G26" s="53"/>
      <c r="H26" s="31"/>
      <c r="I26" s="19"/>
      <c r="J26" s="8" t="b">
        <v>0</v>
      </c>
      <c r="K26" s="8" t="b">
        <v>0</v>
      </c>
      <c r="L26" s="8" t="b">
        <v>0</v>
      </c>
      <c r="M26" s="8" t="b">
        <v>0</v>
      </c>
    </row>
    <row r="27" spans="1:13" s="3" customFormat="1" ht="75" customHeight="1" thickBot="1" x14ac:dyDescent="0.35">
      <c r="A27" s="157"/>
      <c r="B27" s="48"/>
      <c r="C27" s="120"/>
      <c r="D27" s="42"/>
      <c r="E27" s="64"/>
      <c r="F27" s="143"/>
      <c r="G27" s="69"/>
      <c r="H27" s="28"/>
      <c r="I27" s="19">
        <f>IF(M26 = TRUE,0,IF(L26=TRUE,3,(IF(K26=TRUE,2,IF(J26=TRUE,1,0)))))</f>
        <v>0</v>
      </c>
      <c r="J27" s="8"/>
      <c r="K27" s="8"/>
      <c r="L27" s="8"/>
      <c r="M27" s="8"/>
    </row>
    <row r="28" spans="1:13" s="2" customFormat="1" ht="99" customHeight="1" thickBot="1" x14ac:dyDescent="0.4">
      <c r="A28" s="70" t="s">
        <v>30</v>
      </c>
      <c r="B28" s="44"/>
      <c r="C28" s="110" t="s">
        <v>63</v>
      </c>
      <c r="D28" s="71"/>
      <c r="E28" s="52"/>
      <c r="F28" s="112" t="str">
        <f>HYPERLINK("https://www.eur.nl/en/library/research-support/open-access/open-access-eur/publisher-deals", "Open Access Journals")</f>
        <v>Open Access Journals</v>
      </c>
      <c r="G28" s="53"/>
      <c r="H28" s="31"/>
      <c r="I28" s="19"/>
      <c r="J28" s="8" t="b">
        <v>0</v>
      </c>
      <c r="K28" s="8" t="b">
        <v>0</v>
      </c>
      <c r="L28" s="8" t="b">
        <v>0</v>
      </c>
      <c r="M28" s="8"/>
    </row>
    <row r="29" spans="1:13" ht="30" customHeight="1" thickBot="1" x14ac:dyDescent="0.25">
      <c r="A29" s="25" t="s">
        <v>31</v>
      </c>
      <c r="B29" s="26"/>
      <c r="C29" s="113"/>
      <c r="D29" s="26"/>
      <c r="E29" s="26"/>
      <c r="F29" s="90"/>
      <c r="G29" s="26"/>
      <c r="H29" s="86"/>
      <c r="I29" s="21"/>
      <c r="J29" s="18"/>
      <c r="K29" s="18"/>
      <c r="L29" s="18"/>
      <c r="M29" s="18"/>
    </row>
    <row r="30" spans="1:13" s="2" customFormat="1" ht="25.5" customHeight="1" thickTop="1" x14ac:dyDescent="0.35">
      <c r="A30" s="121" t="s">
        <v>32</v>
      </c>
      <c r="B30" s="37"/>
      <c r="C30" s="158" t="s">
        <v>41</v>
      </c>
      <c r="D30" s="38"/>
      <c r="E30" s="39"/>
      <c r="F30" s="104" t="str">
        <f>HYPERLINK("https://github.com/eur-synclab/publication-package", "SYNC lab wiki - Pub Package")</f>
        <v>SYNC lab wiki - Pub Package</v>
      </c>
      <c r="G30" s="84"/>
      <c r="H30" s="81"/>
      <c r="I30" s="19"/>
      <c r="J30" s="8" t="b">
        <v>0</v>
      </c>
      <c r="K30" s="8" t="b">
        <v>0</v>
      </c>
      <c r="L30" s="8" t="b">
        <v>0</v>
      </c>
      <c r="M30" s="8"/>
    </row>
    <row r="31" spans="1:13" s="2" customFormat="1" ht="25.5" customHeight="1" x14ac:dyDescent="0.35">
      <c r="A31" s="118"/>
      <c r="B31" s="44"/>
      <c r="C31" s="159"/>
      <c r="D31" s="74"/>
      <c r="E31" s="46"/>
      <c r="F31" s="106" t="str">
        <f>HYPERLINK("https://datarepository.eur.nl/", "EUR Data Repository")</f>
        <v>EUR Data Repository</v>
      </c>
      <c r="G31" s="111"/>
      <c r="H31" s="94"/>
      <c r="I31" s="78"/>
      <c r="J31" s="8"/>
      <c r="K31" s="8"/>
      <c r="L31" s="8"/>
      <c r="M31" s="8"/>
    </row>
    <row r="32" spans="1:13" s="2" customFormat="1" ht="25.5" customHeight="1" x14ac:dyDescent="0.35">
      <c r="A32" s="118"/>
      <c r="B32" s="44"/>
      <c r="C32" s="159"/>
      <c r="D32" s="74"/>
      <c r="E32" s="46"/>
      <c r="F32" s="106" t="str">
        <f>HYPERLINK("https://datarepository.eur.nl/collections/Publication_Package_Familiarity_and_Audience_Effects_on_Giving_A_Functional_Magnetic_Resonance_Imaging_Study_/5131568", "Example Suzanne van de Groep")</f>
        <v>Example Suzanne van de Groep</v>
      </c>
      <c r="G32" s="111"/>
      <c r="H32" s="94"/>
      <c r="I32" s="78"/>
      <c r="J32" s="8"/>
      <c r="K32" s="8"/>
      <c r="L32" s="8"/>
      <c r="M32" s="8"/>
    </row>
    <row r="33" spans="1:20" s="3" customFormat="1" ht="142.5" customHeight="1" thickBot="1" x14ac:dyDescent="0.35">
      <c r="A33" s="122"/>
      <c r="B33" s="41"/>
      <c r="C33" s="160"/>
      <c r="D33" s="42"/>
      <c r="E33" s="43"/>
      <c r="F33" s="105" t="s">
        <v>55</v>
      </c>
      <c r="G33" s="85"/>
      <c r="H33" s="82"/>
      <c r="I33" s="19">
        <f>IF(L30=TRUE,3,(IF(K30=TRUE,2,IF(J30=TRUE,1,0))))</f>
        <v>0</v>
      </c>
      <c r="J33" s="8"/>
      <c r="K33" s="8"/>
      <c r="L33" s="8"/>
      <c r="M33" s="8"/>
      <c r="N33" s="77"/>
    </row>
    <row r="34" spans="1:20" s="2" customFormat="1" ht="27" customHeight="1" x14ac:dyDescent="0.35">
      <c r="A34" s="118" t="s">
        <v>33</v>
      </c>
      <c r="B34" s="44"/>
      <c r="C34" s="119" t="s">
        <v>43</v>
      </c>
      <c r="D34" s="45"/>
      <c r="E34" s="46"/>
      <c r="F34" s="106" t="str">
        <f>HYPERLINK("https://github.com/eur-synclab/publication-package", "SYNC lab wiki - Pub Package")</f>
        <v>SYNC lab wiki - Pub Package</v>
      </c>
      <c r="G34" s="47"/>
      <c r="H34" s="31"/>
      <c r="I34" s="19"/>
      <c r="J34" s="8" t="b">
        <v>0</v>
      </c>
      <c r="K34" s="8" t="b">
        <v>0</v>
      </c>
      <c r="L34" s="8" t="b">
        <v>0</v>
      </c>
      <c r="M34" s="8" t="b">
        <v>0</v>
      </c>
      <c r="P34" s="3"/>
    </row>
    <row r="35" spans="1:20" s="3" customFormat="1" ht="57" customHeight="1" thickBot="1" x14ac:dyDescent="0.35">
      <c r="A35" s="118"/>
      <c r="B35" s="48"/>
      <c r="C35" s="120"/>
      <c r="D35" s="42"/>
      <c r="E35" s="43"/>
      <c r="F35" s="107" t="s">
        <v>56</v>
      </c>
      <c r="G35" s="49"/>
      <c r="H35" s="28"/>
      <c r="I35" s="19">
        <f>IF(M34 = TRUE,0,IF(L34=TRUE,3,(IF(K34=TRUE,2,IF(J34=TRUE,1,0)))))</f>
        <v>0</v>
      </c>
      <c r="J35" s="8"/>
      <c r="K35" s="8"/>
      <c r="L35" s="8"/>
      <c r="M35" s="8"/>
      <c r="N35" s="77"/>
    </row>
    <row r="36" spans="1:20" s="2" customFormat="1" ht="20.100000000000001" customHeight="1" x14ac:dyDescent="0.35">
      <c r="A36" s="128" t="s">
        <v>34</v>
      </c>
      <c r="B36" s="50"/>
      <c r="C36" s="127" t="s">
        <v>44</v>
      </c>
      <c r="D36" s="51"/>
      <c r="E36" s="52"/>
      <c r="F36" s="125" t="str">
        <f>HYPERLINK("https://neurovault.org/", "Neurovault")</f>
        <v>Neurovault</v>
      </c>
      <c r="G36" s="53"/>
      <c r="H36" s="31"/>
      <c r="I36" s="19"/>
      <c r="J36" s="8" t="b">
        <v>0</v>
      </c>
      <c r="K36" s="8" t="b">
        <v>0</v>
      </c>
      <c r="L36" s="8" t="b">
        <v>0</v>
      </c>
      <c r="M36" s="8" t="b">
        <v>0</v>
      </c>
    </row>
    <row r="37" spans="1:20" s="3" customFormat="1" ht="75" customHeight="1" thickBot="1" x14ac:dyDescent="0.35">
      <c r="A37" s="129"/>
      <c r="B37" s="50"/>
      <c r="C37" s="119"/>
      <c r="D37" s="54"/>
      <c r="E37" s="55"/>
      <c r="F37" s="126"/>
      <c r="G37" s="56"/>
      <c r="H37" s="32"/>
      <c r="I37" s="19">
        <f>IF(M36 = TRUE,0,IF(L36=TRUE,3,(IF(K36=TRUE,2,IF(J36=TRUE,1,0)))))</f>
        <v>0</v>
      </c>
      <c r="J37" s="8"/>
      <c r="K37" s="8"/>
      <c r="L37" s="8"/>
      <c r="M37" s="8"/>
    </row>
    <row r="38" spans="1:20" s="3" customFormat="1" ht="75" customHeight="1" thickTop="1" thickBot="1" x14ac:dyDescent="0.35">
      <c r="A38" s="57" t="s">
        <v>35</v>
      </c>
      <c r="B38" s="58"/>
      <c r="C38" s="58" t="s">
        <v>49</v>
      </c>
      <c r="D38" s="59"/>
      <c r="E38" s="60"/>
      <c r="F38" s="89" t="str">
        <f>HYPERLINK("https://erasmus-synclab.nl/publications/scientific-publications/", "SYNC lab website - Publications")</f>
        <v>SYNC lab website - Publications</v>
      </c>
      <c r="G38" s="61"/>
      <c r="H38" s="87"/>
      <c r="I38" s="19"/>
      <c r="J38" s="8"/>
      <c r="K38" s="8"/>
      <c r="L38" s="8"/>
      <c r="M38" s="8"/>
    </row>
    <row r="39" spans="1:20" s="3" customFormat="1" ht="75" customHeight="1" thickBot="1" x14ac:dyDescent="0.35">
      <c r="A39" s="57" t="s">
        <v>36</v>
      </c>
      <c r="B39" s="58"/>
      <c r="C39" s="58" t="s">
        <v>45</v>
      </c>
      <c r="D39" s="59"/>
      <c r="E39" s="60"/>
      <c r="F39" s="89" t="str">
        <f>HYPERLINK("https://www.twitter.com", "Twitter")</f>
        <v>Twitter</v>
      </c>
      <c r="G39" s="61"/>
      <c r="H39" s="28"/>
      <c r="I39" s="19"/>
      <c r="J39" s="8"/>
      <c r="K39" s="8"/>
      <c r="L39" s="8"/>
      <c r="M39" s="8"/>
    </row>
    <row r="40" spans="1:20" s="3" customFormat="1" ht="75" customHeight="1" thickBot="1" x14ac:dyDescent="0.35">
      <c r="A40" s="57" t="s">
        <v>37</v>
      </c>
      <c r="B40" s="58"/>
      <c r="C40" s="58" t="s">
        <v>46</v>
      </c>
      <c r="D40" s="59"/>
      <c r="E40" s="60"/>
      <c r="F40" s="89" t="str">
        <f>HYPERLINK("https://www.linkedin.com", "LinkedIn")</f>
        <v>LinkedIn</v>
      </c>
      <c r="G40" s="61"/>
      <c r="H40" s="30"/>
      <c r="I40" s="19"/>
      <c r="J40" s="8"/>
      <c r="K40" s="8"/>
      <c r="L40" s="8"/>
      <c r="M40" s="8"/>
    </row>
    <row r="41" spans="1:20" s="2" customFormat="1" ht="36.75" customHeight="1" x14ac:dyDescent="0.35">
      <c r="A41" s="121" t="s">
        <v>50</v>
      </c>
      <c r="B41" s="37"/>
      <c r="C41" s="123" t="s">
        <v>52</v>
      </c>
      <c r="D41" s="40"/>
      <c r="E41" s="62"/>
      <c r="F41" s="109" t="str">
        <f>HYPERLINK("https://www.youngxperts.nl/over-ons/", "YoungXperts Webiste")</f>
        <v>YoungXperts Webiste</v>
      </c>
      <c r="G41" s="63"/>
      <c r="H41" s="29"/>
      <c r="I41" s="19"/>
      <c r="J41" s="8" t="b">
        <v>0</v>
      </c>
      <c r="K41" s="8" t="b">
        <v>0</v>
      </c>
      <c r="L41" s="8" t="b">
        <v>0</v>
      </c>
      <c r="M41" s="8"/>
    </row>
    <row r="42" spans="1:20" s="3" customFormat="1" ht="57.75" customHeight="1" thickBot="1" x14ac:dyDescent="0.35">
      <c r="A42" s="122"/>
      <c r="B42" s="41"/>
      <c r="C42" s="124"/>
      <c r="D42" s="42"/>
      <c r="E42" s="64"/>
      <c r="F42" s="93" t="str">
        <f>HYPERLINK("https://www.google.com/url?sa=t&amp;rct=j&amp;q=&amp;esrc=s&amp;source=web&amp;cd=&amp;cad=rja&amp;uact=8&amp;ved=2ahUKEwiZn6Pfv7L6AhVCt6QKHf7mCZ8QFnoECBIQAQ&amp;url=https%3A%2F%2Fwww.instagram.com%2Fyoung_xperts%2F&amp;usg=AOvVaw2yBaA_SEqyE1l0jBcS2z2I", "YoungXperts Instagram")</f>
        <v>YoungXperts Instagram</v>
      </c>
      <c r="G42" s="65"/>
      <c r="H42" s="28"/>
      <c r="I42" s="19">
        <f>IF(L41=TRUE,3,(IF(K41=TRUE,2,IF(J41=TRUE,1,0))))</f>
        <v>0</v>
      </c>
      <c r="J42" s="8"/>
      <c r="K42" s="8"/>
      <c r="L42" s="8"/>
      <c r="M42" s="8"/>
    </row>
    <row r="43" spans="1:20" s="5" customFormat="1" ht="75" customHeight="1" thickBot="1" x14ac:dyDescent="0.25">
      <c r="A43" s="108" t="s">
        <v>57</v>
      </c>
      <c r="B43" s="27" t="s">
        <v>4</v>
      </c>
      <c r="C43" s="114">
        <f>SUM(Y105,Y106,Y107,Y108,Y109,Y110,Y111,Y112,Y113,Y114,Y115,Y116,Y117,Y118,Y119,Y120,Y121,Y122)*100/18</f>
        <v>0</v>
      </c>
      <c r="D43" s="130" t="s">
        <v>3</v>
      </c>
      <c r="E43" s="130"/>
      <c r="F43" s="91" t="s">
        <v>7</v>
      </c>
      <c r="G43" s="134" t="str">
        <f>IF(C43&gt;69,S108,(IF((AND(C43&lt;70,C43&gt;49)),S107,(IF((AND(C43&lt;50,C43&gt;0)),S106,"")))))</f>
        <v/>
      </c>
      <c r="H43" s="135"/>
      <c r="I43" s="13">
        <f xml:space="preserve"> SUM(I3:I42)</f>
        <v>0</v>
      </c>
      <c r="J43" s="18"/>
      <c r="K43" s="18"/>
      <c r="L43" s="18"/>
      <c r="M43" s="9">
        <f xml:space="preserve"> (COUNTIF(M3:M42, "TRUE"))*3</f>
        <v>0</v>
      </c>
      <c r="T43" s="115"/>
    </row>
    <row r="44" spans="1:20" ht="27.95" customHeight="1" x14ac:dyDescent="0.2">
      <c r="J44" s="18"/>
      <c r="K44" s="18"/>
      <c r="L44" s="18"/>
      <c r="M44" s="9">
        <f xml:space="preserve"> 42 - M43</f>
        <v>42</v>
      </c>
    </row>
    <row r="50" spans="1:6" x14ac:dyDescent="0.3">
      <c r="A50" s="132"/>
      <c r="B50" s="132"/>
      <c r="C50" s="132"/>
      <c r="D50" s="132"/>
      <c r="E50" s="132"/>
      <c r="F50" s="132"/>
    </row>
    <row r="51" spans="1:6" x14ac:dyDescent="0.3">
      <c r="A51" s="132"/>
      <c r="B51" s="132"/>
      <c r="C51" s="132"/>
      <c r="D51" s="132"/>
      <c r="E51" s="132"/>
      <c r="F51" s="132"/>
    </row>
    <row r="104" spans="18:26" ht="27" thickBot="1" x14ac:dyDescent="0.25"/>
    <row r="105" spans="18:26" ht="27" thickBot="1" x14ac:dyDescent="0.25">
      <c r="R105" s="35" t="s">
        <v>9</v>
      </c>
      <c r="S105" s="133" t="s">
        <v>10</v>
      </c>
      <c r="T105" s="133"/>
      <c r="Y105" s="1">
        <f>IF(Z105,1,0)</f>
        <v>0</v>
      </c>
      <c r="Z105" s="1" t="b">
        <v>0</v>
      </c>
    </row>
    <row r="106" spans="18:26" ht="27" thickBot="1" x14ac:dyDescent="0.25">
      <c r="R106" s="36" t="s">
        <v>11</v>
      </c>
      <c r="S106" s="131" t="s">
        <v>8</v>
      </c>
      <c r="T106" s="131"/>
      <c r="Y106" s="1">
        <f t="shared" ref="Y106:Y121" si="0">IF(Z106,1,0)</f>
        <v>0</v>
      </c>
      <c r="Z106" s="1" t="b">
        <v>0</v>
      </c>
    </row>
    <row r="107" spans="18:26" ht="27" thickBot="1" x14ac:dyDescent="0.25">
      <c r="R107" s="36" t="s">
        <v>12</v>
      </c>
      <c r="S107" s="131" t="s">
        <v>5</v>
      </c>
      <c r="T107" s="131"/>
      <c r="Y107" s="1">
        <f t="shared" si="0"/>
        <v>0</v>
      </c>
      <c r="Z107" s="1" t="b">
        <v>0</v>
      </c>
    </row>
    <row r="108" spans="18:26" ht="27" thickBot="1" x14ac:dyDescent="0.25">
      <c r="R108" s="36" t="s">
        <v>13</v>
      </c>
      <c r="S108" s="116" t="s">
        <v>6</v>
      </c>
      <c r="T108" s="117"/>
      <c r="Y108" s="1">
        <f t="shared" si="0"/>
        <v>0</v>
      </c>
      <c r="Z108" s="1" t="b">
        <v>0</v>
      </c>
    </row>
    <row r="109" spans="18:26" x14ac:dyDescent="0.2">
      <c r="Y109" s="1">
        <f t="shared" si="0"/>
        <v>0</v>
      </c>
      <c r="Z109" s="1" t="b">
        <v>0</v>
      </c>
    </row>
    <row r="110" spans="18:26" x14ac:dyDescent="0.2">
      <c r="Y110" s="1">
        <f t="shared" si="0"/>
        <v>0</v>
      </c>
      <c r="Z110" s="1" t="b">
        <v>0</v>
      </c>
    </row>
    <row r="111" spans="18:26" x14ac:dyDescent="0.2">
      <c r="Y111" s="1">
        <f t="shared" si="0"/>
        <v>0</v>
      </c>
      <c r="Z111" s="1" t="b">
        <v>0</v>
      </c>
    </row>
    <row r="112" spans="18:26" x14ac:dyDescent="0.2">
      <c r="Y112" s="1">
        <f t="shared" si="0"/>
        <v>0</v>
      </c>
      <c r="Z112" s="1" t="b">
        <v>0</v>
      </c>
    </row>
    <row r="113" spans="25:26" x14ac:dyDescent="0.2">
      <c r="Y113" s="1">
        <f t="shared" si="0"/>
        <v>0</v>
      </c>
      <c r="Z113" s="1" t="b">
        <v>0</v>
      </c>
    </row>
    <row r="114" spans="25:26" x14ac:dyDescent="0.2">
      <c r="Y114" s="1">
        <f t="shared" si="0"/>
        <v>0</v>
      </c>
      <c r="Z114" s="1" t="b">
        <v>0</v>
      </c>
    </row>
    <row r="115" spans="25:26" x14ac:dyDescent="0.2">
      <c r="Y115" s="1">
        <f t="shared" si="0"/>
        <v>0</v>
      </c>
      <c r="Z115" s="1" t="b">
        <v>0</v>
      </c>
    </row>
    <row r="116" spans="25:26" x14ac:dyDescent="0.2">
      <c r="Y116" s="1">
        <f t="shared" si="0"/>
        <v>0</v>
      </c>
      <c r="Z116" s="1" t="b">
        <v>0</v>
      </c>
    </row>
    <row r="117" spans="25:26" x14ac:dyDescent="0.2">
      <c r="Y117" s="1">
        <f t="shared" si="0"/>
        <v>0</v>
      </c>
      <c r="Z117" s="1" t="b">
        <v>0</v>
      </c>
    </row>
    <row r="118" spans="25:26" x14ac:dyDescent="0.2">
      <c r="Y118" s="1">
        <f t="shared" si="0"/>
        <v>0</v>
      </c>
      <c r="Z118" s="1" t="b">
        <v>0</v>
      </c>
    </row>
    <row r="119" spans="25:26" x14ac:dyDescent="0.2">
      <c r="Y119" s="1">
        <f t="shared" si="0"/>
        <v>0</v>
      </c>
      <c r="Z119" s="1" t="b">
        <v>0</v>
      </c>
    </row>
    <row r="120" spans="25:26" x14ac:dyDescent="0.2">
      <c r="Y120" s="1">
        <f t="shared" si="0"/>
        <v>0</v>
      </c>
      <c r="Z120" s="1" t="b">
        <v>0</v>
      </c>
    </row>
    <row r="121" spans="25:26" x14ac:dyDescent="0.2">
      <c r="Y121" s="1">
        <f t="shared" si="0"/>
        <v>0</v>
      </c>
      <c r="Z121" s="1" t="b">
        <v>0</v>
      </c>
    </row>
    <row r="122" spans="25:26" x14ac:dyDescent="0.2">
      <c r="Y122" s="1">
        <f>IF(Z122,1,0)</f>
        <v>0</v>
      </c>
      <c r="Z122" s="1" t="b">
        <v>0</v>
      </c>
    </row>
  </sheetData>
  <mergeCells count="48">
    <mergeCell ref="A30:A33"/>
    <mergeCell ref="A17:A20"/>
    <mergeCell ref="B21:D21"/>
    <mergeCell ref="E21:G21"/>
    <mergeCell ref="F17:F20"/>
    <mergeCell ref="C17:C20"/>
    <mergeCell ref="F24:F25"/>
    <mergeCell ref="A26:A27"/>
    <mergeCell ref="C30:C33"/>
    <mergeCell ref="A23:H23"/>
    <mergeCell ref="C24:C25"/>
    <mergeCell ref="A24:A25"/>
    <mergeCell ref="B1:D1"/>
    <mergeCell ref="E1:G1"/>
    <mergeCell ref="B8:D8"/>
    <mergeCell ref="E8:G8"/>
    <mergeCell ref="I14:I16"/>
    <mergeCell ref="C14:C16"/>
    <mergeCell ref="F14:F16"/>
    <mergeCell ref="C3:C5"/>
    <mergeCell ref="C6:C7"/>
    <mergeCell ref="A2:H2"/>
    <mergeCell ref="F6:F7"/>
    <mergeCell ref="A9:H9"/>
    <mergeCell ref="A10:A11"/>
    <mergeCell ref="C10:C11"/>
    <mergeCell ref="F10:F11"/>
    <mergeCell ref="A3:A5"/>
    <mergeCell ref="A6:A7"/>
    <mergeCell ref="E3:G4"/>
    <mergeCell ref="A14:A16"/>
    <mergeCell ref="F26:F27"/>
    <mergeCell ref="C26:C27"/>
    <mergeCell ref="S108:T108"/>
    <mergeCell ref="A34:A35"/>
    <mergeCell ref="C34:C35"/>
    <mergeCell ref="A41:A42"/>
    <mergeCell ref="C41:C42"/>
    <mergeCell ref="F36:F37"/>
    <mergeCell ref="C36:C37"/>
    <mergeCell ref="A36:A37"/>
    <mergeCell ref="D43:E43"/>
    <mergeCell ref="S106:T106"/>
    <mergeCell ref="A50:F50"/>
    <mergeCell ref="A51:F51"/>
    <mergeCell ref="S107:T107"/>
    <mergeCell ref="S105:T105"/>
    <mergeCell ref="G43:H43"/>
  </mergeCells>
  <hyperlinks>
    <hyperlink ref="E3" r:id="rId1" display="https://eur-synclab.github.io/open-science/preregistration.html" xr:uid="{5F513792-AA18-4A1D-A5DC-FA672E62081E}"/>
    <hyperlink ref="F6" r:id="rId2" display="https://eur-synclab.github.io/data-management/dmp-dpia-info.html " xr:uid="{B372600D-24E1-40B4-A179-479D9FA095FC}"/>
    <hyperlink ref="F13" r:id="rId3" display="https://eur-synclab.github.io/data-management/data-security.html " xr:uid="{88150336-5FBD-46D2-9297-D39AB94A0532}"/>
    <hyperlink ref="F14" r:id="rId4" display="https://eur-synclab.github.io/data-management/data-security.html " xr:uid="{534660CE-CAB6-475A-ACE9-D2FA7AB18312}"/>
    <hyperlink ref="F17" r:id="rId5" display="https://eur-synclab.github.io/open-science/open-code.html" xr:uid="{5A0E9973-692F-4223-8BD0-0DE1E9900BA0}"/>
    <hyperlink ref="F24" r:id="rId6" display="https://eur-synclab.github.io/data-management/vc-principles.html " xr:uid="{85D05509-3764-4AAD-9AB1-C4249C26BD11}"/>
    <hyperlink ref="F26" r:id="rId7" display="https://eur-synclab.github.io/open-science/open-access-info.html " xr:uid="{17691F75-90FF-4897-9038-B2B6FF0A528E}"/>
    <hyperlink ref="F36" r:id="rId8" display="https://neurovault.org/" xr:uid="{AA98F3F9-8FA3-4574-9C09-B285BC6B18D9}"/>
    <hyperlink ref="F38" r:id="rId9" display="https://erasmus-synclab.nl/publications/scientific-publications/ " xr:uid="{5AE51E57-BC7D-4C7C-B858-DF3A92A24A16}"/>
    <hyperlink ref="F39" r:id="rId10" display="https://www.twitter.com" xr:uid="{8FFCAC0F-DB14-4F3D-B13A-131BD01A9F15}"/>
    <hyperlink ref="F40" r:id="rId11" display="https://www.linkedin.com" xr:uid="{70F2233B-E7CA-4070-BC24-03ACAF6A5A43}"/>
    <hyperlink ref="F34" r:id="rId12" display="https://github.com/eur-synclab/publication-package" xr:uid="{425A7AF0-6FB9-4325-91B7-93E1F264A7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132" r:id="rId16" name="Check Box 1108">
              <controlPr defaultSize="0" autoFill="0" autoLine="0" autoPict="0" altText="">
                <anchor moveWithCells="1">
                  <from>
                    <xdr:col>7</xdr:col>
                    <xdr:colOff>352425</xdr:colOff>
                    <xdr:row>3</xdr:row>
                    <xdr:rowOff>190500</xdr:rowOff>
                  </from>
                  <to>
                    <xdr:col>13</xdr:col>
                    <xdr:colOff>180975</xdr:colOff>
                    <xdr:row>4</xdr:row>
                    <xdr:rowOff>352425</xdr:rowOff>
                  </to>
                </anchor>
              </controlPr>
            </control>
          </mc:Choice>
        </mc:AlternateContent>
        <mc:AlternateContent xmlns:mc="http://schemas.openxmlformats.org/markup-compatibility/2006">
          <mc:Choice Requires="x14">
            <control shapeId="2134" r:id="rId17" name="Check Box 1110">
              <controlPr defaultSize="0" autoFill="0" autoLine="0" autoPict="0" altText="">
                <anchor moveWithCells="1">
                  <from>
                    <xdr:col>7</xdr:col>
                    <xdr:colOff>342900</xdr:colOff>
                    <xdr:row>6</xdr:row>
                    <xdr:rowOff>57150</xdr:rowOff>
                  </from>
                  <to>
                    <xdr:col>13</xdr:col>
                    <xdr:colOff>180975</xdr:colOff>
                    <xdr:row>6</xdr:row>
                    <xdr:rowOff>666750</xdr:rowOff>
                  </to>
                </anchor>
              </controlPr>
            </control>
          </mc:Choice>
        </mc:AlternateContent>
        <mc:AlternateContent xmlns:mc="http://schemas.openxmlformats.org/markup-compatibility/2006">
          <mc:Choice Requires="x14">
            <control shapeId="2135" r:id="rId18" name="Check Box 1111">
              <controlPr defaultSize="0" autoFill="0" autoLine="0" autoPict="0" altText="">
                <anchor moveWithCells="1">
                  <from>
                    <xdr:col>7</xdr:col>
                    <xdr:colOff>333375</xdr:colOff>
                    <xdr:row>10</xdr:row>
                    <xdr:rowOff>190500</xdr:rowOff>
                  </from>
                  <to>
                    <xdr:col>13</xdr:col>
                    <xdr:colOff>152400</xdr:colOff>
                    <xdr:row>10</xdr:row>
                    <xdr:rowOff>800100</xdr:rowOff>
                  </to>
                </anchor>
              </controlPr>
            </control>
          </mc:Choice>
        </mc:AlternateContent>
        <mc:AlternateContent xmlns:mc="http://schemas.openxmlformats.org/markup-compatibility/2006">
          <mc:Choice Requires="x14">
            <control shapeId="2136" r:id="rId19" name="Check Box 1112">
              <controlPr defaultSize="0" autoFill="0" autoLine="0" autoPict="0" altText="">
                <anchor moveWithCells="1">
                  <from>
                    <xdr:col>7</xdr:col>
                    <xdr:colOff>342900</xdr:colOff>
                    <xdr:row>12</xdr:row>
                    <xdr:rowOff>209550</xdr:rowOff>
                  </from>
                  <to>
                    <xdr:col>13</xdr:col>
                    <xdr:colOff>171450</xdr:colOff>
                    <xdr:row>12</xdr:row>
                    <xdr:rowOff>819150</xdr:rowOff>
                  </to>
                </anchor>
              </controlPr>
            </control>
          </mc:Choice>
        </mc:AlternateContent>
        <mc:AlternateContent xmlns:mc="http://schemas.openxmlformats.org/markup-compatibility/2006">
          <mc:Choice Requires="x14">
            <control shapeId="2137" r:id="rId20" name="Check Box 1113">
              <controlPr defaultSize="0" autoFill="0" autoLine="0" autoPict="0" altText="">
                <anchor moveWithCells="1">
                  <from>
                    <xdr:col>7</xdr:col>
                    <xdr:colOff>342900</xdr:colOff>
                    <xdr:row>14</xdr:row>
                    <xdr:rowOff>190500</xdr:rowOff>
                  </from>
                  <to>
                    <xdr:col>13</xdr:col>
                    <xdr:colOff>171450</xdr:colOff>
                    <xdr:row>15</xdr:row>
                    <xdr:rowOff>561975</xdr:rowOff>
                  </to>
                </anchor>
              </controlPr>
            </control>
          </mc:Choice>
        </mc:AlternateContent>
        <mc:AlternateContent xmlns:mc="http://schemas.openxmlformats.org/markup-compatibility/2006">
          <mc:Choice Requires="x14">
            <control shapeId="2138" r:id="rId21" name="Check Box 1114">
              <controlPr defaultSize="0" autoFill="0" autoLine="0" autoPict="0" altText="">
                <anchor moveWithCells="1">
                  <from>
                    <xdr:col>7</xdr:col>
                    <xdr:colOff>333375</xdr:colOff>
                    <xdr:row>17</xdr:row>
                    <xdr:rowOff>200025</xdr:rowOff>
                  </from>
                  <to>
                    <xdr:col>13</xdr:col>
                    <xdr:colOff>152400</xdr:colOff>
                    <xdr:row>19</xdr:row>
                    <xdr:rowOff>314325</xdr:rowOff>
                  </to>
                </anchor>
              </controlPr>
            </control>
          </mc:Choice>
        </mc:AlternateContent>
        <mc:AlternateContent xmlns:mc="http://schemas.openxmlformats.org/markup-compatibility/2006">
          <mc:Choice Requires="x14">
            <control shapeId="2139" r:id="rId22" name="Check Box 1115">
              <controlPr defaultSize="0" autoFill="0" autoLine="0" autoPict="0" altText="">
                <anchor moveWithCells="1">
                  <from>
                    <xdr:col>7</xdr:col>
                    <xdr:colOff>295275</xdr:colOff>
                    <xdr:row>23</xdr:row>
                    <xdr:rowOff>238125</xdr:rowOff>
                  </from>
                  <to>
                    <xdr:col>13</xdr:col>
                    <xdr:colOff>123825</xdr:colOff>
                    <xdr:row>24</xdr:row>
                    <xdr:rowOff>600075</xdr:rowOff>
                  </to>
                </anchor>
              </controlPr>
            </control>
          </mc:Choice>
        </mc:AlternateContent>
        <mc:AlternateContent xmlns:mc="http://schemas.openxmlformats.org/markup-compatibility/2006">
          <mc:Choice Requires="x14">
            <control shapeId="2140" r:id="rId23" name="Check Box 1116">
              <controlPr defaultSize="0" autoFill="0" autoLine="0" autoPict="0" altText="">
                <anchor moveWithCells="1">
                  <from>
                    <xdr:col>7</xdr:col>
                    <xdr:colOff>342900</xdr:colOff>
                    <xdr:row>26</xdr:row>
                    <xdr:rowOff>57150</xdr:rowOff>
                  </from>
                  <to>
                    <xdr:col>13</xdr:col>
                    <xdr:colOff>171450</xdr:colOff>
                    <xdr:row>26</xdr:row>
                    <xdr:rowOff>666750</xdr:rowOff>
                  </to>
                </anchor>
              </controlPr>
            </control>
          </mc:Choice>
        </mc:AlternateContent>
        <mc:AlternateContent xmlns:mc="http://schemas.openxmlformats.org/markup-compatibility/2006">
          <mc:Choice Requires="x14">
            <control shapeId="2141" r:id="rId24" name="Check Box 1117">
              <controlPr defaultSize="0" autoFill="0" autoLine="0" autoPict="0" altText="">
                <anchor moveWithCells="1">
                  <from>
                    <xdr:col>7</xdr:col>
                    <xdr:colOff>333375</xdr:colOff>
                    <xdr:row>27</xdr:row>
                    <xdr:rowOff>209550</xdr:rowOff>
                  </from>
                  <to>
                    <xdr:col>13</xdr:col>
                    <xdr:colOff>152400</xdr:colOff>
                    <xdr:row>27</xdr:row>
                    <xdr:rowOff>819150</xdr:rowOff>
                  </to>
                </anchor>
              </controlPr>
            </control>
          </mc:Choice>
        </mc:AlternateContent>
        <mc:AlternateContent xmlns:mc="http://schemas.openxmlformats.org/markup-compatibility/2006">
          <mc:Choice Requires="x14">
            <control shapeId="2142" r:id="rId25" name="Check Box 1118">
              <controlPr defaultSize="0" autoFill="0" autoLine="0" autoPict="0" altText="">
                <anchor moveWithCells="1">
                  <from>
                    <xdr:col>7</xdr:col>
                    <xdr:colOff>323850</xdr:colOff>
                    <xdr:row>32</xdr:row>
                    <xdr:rowOff>114300</xdr:rowOff>
                  </from>
                  <to>
                    <xdr:col>13</xdr:col>
                    <xdr:colOff>152400</xdr:colOff>
                    <xdr:row>32</xdr:row>
                    <xdr:rowOff>723900</xdr:rowOff>
                  </to>
                </anchor>
              </controlPr>
            </control>
          </mc:Choice>
        </mc:AlternateContent>
        <mc:AlternateContent xmlns:mc="http://schemas.openxmlformats.org/markup-compatibility/2006">
          <mc:Choice Requires="x14">
            <control shapeId="2143" r:id="rId26" name="Check Box 1119">
              <controlPr defaultSize="0" autoFill="0" autoLine="0" autoPict="0" altText="">
                <anchor moveWithCells="1">
                  <from>
                    <xdr:col>7</xdr:col>
                    <xdr:colOff>342900</xdr:colOff>
                    <xdr:row>33</xdr:row>
                    <xdr:rowOff>285750</xdr:rowOff>
                  </from>
                  <to>
                    <xdr:col>13</xdr:col>
                    <xdr:colOff>171450</xdr:colOff>
                    <xdr:row>34</xdr:row>
                    <xdr:rowOff>561975</xdr:rowOff>
                  </to>
                </anchor>
              </controlPr>
            </control>
          </mc:Choice>
        </mc:AlternateContent>
        <mc:AlternateContent xmlns:mc="http://schemas.openxmlformats.org/markup-compatibility/2006">
          <mc:Choice Requires="x14">
            <control shapeId="2144" r:id="rId27" name="Check Box 1120">
              <controlPr defaultSize="0" autoFill="0" autoLine="0" autoPict="0" altText="">
                <anchor moveWithCells="1">
                  <from>
                    <xdr:col>7</xdr:col>
                    <xdr:colOff>342900</xdr:colOff>
                    <xdr:row>36</xdr:row>
                    <xdr:rowOff>57150</xdr:rowOff>
                  </from>
                  <to>
                    <xdr:col>13</xdr:col>
                    <xdr:colOff>171450</xdr:colOff>
                    <xdr:row>36</xdr:row>
                    <xdr:rowOff>666750</xdr:rowOff>
                  </to>
                </anchor>
              </controlPr>
            </control>
          </mc:Choice>
        </mc:AlternateContent>
        <mc:AlternateContent xmlns:mc="http://schemas.openxmlformats.org/markup-compatibility/2006">
          <mc:Choice Requires="x14">
            <control shapeId="2145" r:id="rId28" name="Check Box 1121">
              <controlPr defaultSize="0" autoFill="0" autoLine="0" autoPict="0" altText="">
                <anchor moveWithCells="1">
                  <from>
                    <xdr:col>7</xdr:col>
                    <xdr:colOff>342900</xdr:colOff>
                    <xdr:row>37</xdr:row>
                    <xdr:rowOff>142875</xdr:rowOff>
                  </from>
                  <to>
                    <xdr:col>13</xdr:col>
                    <xdr:colOff>161925</xdr:colOff>
                    <xdr:row>37</xdr:row>
                    <xdr:rowOff>752475</xdr:rowOff>
                  </to>
                </anchor>
              </controlPr>
            </control>
          </mc:Choice>
        </mc:AlternateContent>
        <mc:AlternateContent xmlns:mc="http://schemas.openxmlformats.org/markup-compatibility/2006">
          <mc:Choice Requires="x14">
            <control shapeId="2146" r:id="rId29" name="Check Box 1122">
              <controlPr defaultSize="0" autoFill="0" autoLine="0" autoPict="0" altText="">
                <anchor moveWithCells="1">
                  <from>
                    <xdr:col>7</xdr:col>
                    <xdr:colOff>323850</xdr:colOff>
                    <xdr:row>38</xdr:row>
                    <xdr:rowOff>95250</xdr:rowOff>
                  </from>
                  <to>
                    <xdr:col>13</xdr:col>
                    <xdr:colOff>142875</xdr:colOff>
                    <xdr:row>38</xdr:row>
                    <xdr:rowOff>704850</xdr:rowOff>
                  </to>
                </anchor>
              </controlPr>
            </control>
          </mc:Choice>
        </mc:AlternateContent>
        <mc:AlternateContent xmlns:mc="http://schemas.openxmlformats.org/markup-compatibility/2006">
          <mc:Choice Requires="x14">
            <control shapeId="2147" r:id="rId30" name="Check Box 1123">
              <controlPr defaultSize="0" autoFill="0" autoLine="0" autoPict="0" altText="">
                <anchor moveWithCells="1">
                  <from>
                    <xdr:col>7</xdr:col>
                    <xdr:colOff>304800</xdr:colOff>
                    <xdr:row>39</xdr:row>
                    <xdr:rowOff>161925</xdr:rowOff>
                  </from>
                  <to>
                    <xdr:col>13</xdr:col>
                    <xdr:colOff>123825</xdr:colOff>
                    <xdr:row>39</xdr:row>
                    <xdr:rowOff>771525</xdr:rowOff>
                  </to>
                </anchor>
              </controlPr>
            </control>
          </mc:Choice>
        </mc:AlternateContent>
        <mc:AlternateContent xmlns:mc="http://schemas.openxmlformats.org/markup-compatibility/2006">
          <mc:Choice Requires="x14">
            <control shapeId="2148" r:id="rId31" name="Check Box 1124">
              <controlPr defaultSize="0" autoFill="0" autoLine="0" autoPict="0" altText="">
                <anchor moveWithCells="1">
                  <from>
                    <xdr:col>7</xdr:col>
                    <xdr:colOff>295275</xdr:colOff>
                    <xdr:row>40</xdr:row>
                    <xdr:rowOff>352425</xdr:rowOff>
                  </from>
                  <to>
                    <xdr:col>13</xdr:col>
                    <xdr:colOff>114300</xdr:colOff>
                    <xdr:row>41</xdr:row>
                    <xdr:rowOff>504825</xdr:rowOff>
                  </to>
                </anchor>
              </controlPr>
            </control>
          </mc:Choice>
        </mc:AlternateContent>
        <mc:AlternateContent xmlns:mc="http://schemas.openxmlformats.org/markup-compatibility/2006">
          <mc:Choice Requires="x14">
            <control shapeId="2150" r:id="rId32" name="Check Box 1126">
              <controlPr defaultSize="0" autoFill="0" autoLine="0" autoPict="0" altText="">
                <anchor moveWithCells="1">
                  <from>
                    <xdr:col>7</xdr:col>
                    <xdr:colOff>323850</xdr:colOff>
                    <xdr:row>11</xdr:row>
                    <xdr:rowOff>571500</xdr:rowOff>
                  </from>
                  <to>
                    <xdr:col>13</xdr:col>
                    <xdr:colOff>142875</xdr:colOff>
                    <xdr:row>11</xdr:row>
                    <xdr:rowOff>1181100</xdr:rowOff>
                  </to>
                </anchor>
              </controlPr>
            </control>
          </mc:Choice>
        </mc:AlternateContent>
        <mc:AlternateContent xmlns:mc="http://schemas.openxmlformats.org/markup-compatibility/2006">
          <mc:Choice Requires="x14">
            <control shapeId="2151" r:id="rId33" name="Check Box 1127">
              <controlPr defaultSize="0" autoFill="0" autoLine="0" autoPict="0" altText="">
                <anchor moveWithCells="1">
                  <from>
                    <xdr:col>7</xdr:col>
                    <xdr:colOff>333375</xdr:colOff>
                    <xdr:row>21</xdr:row>
                    <xdr:rowOff>200025</xdr:rowOff>
                  </from>
                  <to>
                    <xdr:col>13</xdr:col>
                    <xdr:colOff>152400</xdr:colOff>
                    <xdr:row>21</xdr:row>
                    <xdr:rowOff>809625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836DEF38B85B34DA529BA2AE4D45C13" ma:contentTypeVersion="6" ma:contentTypeDescription="Een nieuw document maken." ma:contentTypeScope="" ma:versionID="f7a18cbf4a4b1a3791ba712bd41df0a4">
  <xsd:schema xmlns:xsd="http://www.w3.org/2001/XMLSchema" xmlns:xs="http://www.w3.org/2001/XMLSchema" xmlns:p="http://schemas.microsoft.com/office/2006/metadata/properties" xmlns:ns2="145b1fb4-01ed-4093-92de-3211752244e8" targetNamespace="http://schemas.microsoft.com/office/2006/metadata/properties" ma:root="true" ma:fieldsID="c95fe503c81a4d97a3546a901df264ce" ns2:_="">
    <xsd:import namespace="145b1fb4-01ed-4093-92de-3211752244e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5b1fb4-01ed-4093-92de-3211752244e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F849E4-102A-4DE7-A081-754BE6F2975F}">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2A17527-D1AB-4882-BB73-288D36DEDC81}">
  <ds:schemaRefs>
    <ds:schemaRef ds:uri="http://schemas.microsoft.com/sharepoint/v3/contenttype/forms"/>
  </ds:schemaRefs>
</ds:datastoreItem>
</file>

<file path=customXml/itemProps3.xml><?xml version="1.0" encoding="utf-8"?>
<ds:datastoreItem xmlns:ds="http://schemas.openxmlformats.org/officeDocument/2006/customXml" ds:itemID="{9FC14C6C-2A13-4033-B50D-8348B41107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5b1fb4-01ed-4093-92de-3211752244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Checklist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Mulder</dc:creator>
  <cp:lastModifiedBy>Mark Mulder</cp:lastModifiedBy>
  <dcterms:created xsi:type="dcterms:W3CDTF">2020-12-17T11:03:55Z</dcterms:created>
  <dcterms:modified xsi:type="dcterms:W3CDTF">2022-09-26T13:06:56Z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0x0101009836DEF38B85B34DA529BA2AE4D45C13</vt:lpwstr>
  </property>
</Properties>
</file>